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nustedupk0-my.sharepoint.com/personal/mtayyab_me22smme_student_nust_edu_pk/Documents/Shared/Thesis/Supporting Data/"/>
    </mc:Choice>
  </mc:AlternateContent>
  <xr:revisionPtr revIDLastSave="670" documentId="11_F25DC773A252ABDACC104878E1DE77225ADE58E5" xr6:coauthVersionLast="47" xr6:coauthVersionMax="47" xr10:uidLastSave="{36992461-A952-4958-A6CC-239C16119B87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1" l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6" i="1"/>
</calcChain>
</file>

<file path=xl/sharedStrings.xml><?xml version="1.0" encoding="utf-8"?>
<sst xmlns="http://schemas.openxmlformats.org/spreadsheetml/2006/main" count="70" uniqueCount="52">
  <si>
    <t>S. No.</t>
  </si>
  <si>
    <t>Ip</t>
  </si>
  <si>
    <t>V</t>
  </si>
  <si>
    <t>Ton</t>
  </si>
  <si>
    <t>Toff</t>
  </si>
  <si>
    <t>Retract Height</t>
  </si>
  <si>
    <t>Radius 2 mm cuts</t>
  </si>
  <si>
    <t>Radius 1.5 mm cuts</t>
  </si>
  <si>
    <t>Radius 1 mm cuts</t>
  </si>
  <si>
    <t>4 mm wide Groove</t>
  </si>
  <si>
    <t>4 mm wide Flute</t>
  </si>
  <si>
    <t>10° Relief Angle</t>
  </si>
  <si>
    <t>Electrode Design</t>
  </si>
  <si>
    <t>Mass Electrode Before</t>
  </si>
  <si>
    <t>Mass Electrode After</t>
  </si>
  <si>
    <t>Mass Workpiece Before</t>
  </si>
  <si>
    <t>Mass Workpiece After</t>
  </si>
  <si>
    <t>Electrode Size Before</t>
  </si>
  <si>
    <t>Dia</t>
  </si>
  <si>
    <t>Length</t>
  </si>
  <si>
    <t>Electrode Size After</t>
  </si>
  <si>
    <t>Machined Hole Size</t>
  </si>
  <si>
    <t>Machining Time</t>
  </si>
  <si>
    <t>MRR</t>
  </si>
  <si>
    <t>TWR</t>
  </si>
  <si>
    <t>SR</t>
  </si>
  <si>
    <t>Bottom Surface Ra</t>
  </si>
  <si>
    <t>Bottom Surface Sa</t>
  </si>
  <si>
    <t>Overcut</t>
  </si>
  <si>
    <t>(A)</t>
  </si>
  <si>
    <t>(V)</t>
  </si>
  <si>
    <r>
      <rPr>
        <sz val="11"/>
        <color theme="1"/>
        <rFont val="Aptos Narrow"/>
        <family val="2"/>
      </rPr>
      <t>(µ</t>
    </r>
    <r>
      <rPr>
        <sz val="11"/>
        <color theme="1"/>
        <rFont val="Times New Roman"/>
        <family val="1"/>
      </rPr>
      <t>s)</t>
    </r>
  </si>
  <si>
    <t>mm</t>
  </si>
  <si>
    <t>(g)</t>
  </si>
  <si>
    <t>(mm)</t>
  </si>
  <si>
    <t>(min)</t>
  </si>
  <si>
    <t>(mm3/min)</t>
  </si>
  <si>
    <t>(µm)</t>
  </si>
  <si>
    <t>Cylindrical surface    Ra</t>
  </si>
  <si>
    <t>Density of Al2219</t>
  </si>
  <si>
    <t>Density of Cu</t>
  </si>
  <si>
    <t>g/mm3</t>
  </si>
  <si>
    <t xml:space="preserve">Conventional </t>
  </si>
  <si>
    <t>Weight</t>
  </si>
  <si>
    <t>Design</t>
  </si>
  <si>
    <t>Dc</t>
  </si>
  <si>
    <t>Dnc1</t>
  </si>
  <si>
    <t>Dnc2</t>
  </si>
  <si>
    <t>Dnc3</t>
  </si>
  <si>
    <t>Dnc4</t>
  </si>
  <si>
    <t>Dnc5</t>
  </si>
  <si>
    <t>Dnc6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</si>
</sst>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Aptos Narrow"/>
      <family val="2"/>
    </font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Material Removal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Pulse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Dc</c:v>
              </c:pt>
              <c:pt idx="1">
                <c:v>Dnc1</c:v>
              </c:pt>
              <c:pt idx="2">
                <c:v>Dnc2</c:v>
              </c:pt>
              <c:pt idx="3">
                <c:v>Dnc3</c:v>
              </c:pt>
              <c:pt idx="4">
                <c:v>Dnc4</c:v>
              </c:pt>
              <c:pt idx="5">
                <c:v>Dnc5</c:v>
              </c:pt>
              <c:pt idx="6">
                <c:v>Dnc6</c:v>
              </c:pt>
            </c:strLit>
          </c:cat>
          <c:val>
            <c:numRef>
              <c:f>(Sheet1!$S$6,Sheet1!$S$9,Sheet1!$S$12,Sheet1!$S$15,Sheet1!$S$18,Sheet1!$S$21,Sheet1!$S$24)</c:f>
              <c:numCache>
                <c:formatCode>0.000</c:formatCode>
                <c:ptCount val="7"/>
                <c:pt idx="0">
                  <c:v>6.2548585906210876</c:v>
                </c:pt>
                <c:pt idx="1">
                  <c:v>9.1716413269906401</c:v>
                </c:pt>
                <c:pt idx="2">
                  <c:v>7.3198246660232007</c:v>
                </c:pt>
                <c:pt idx="3">
                  <c:v>6.1892920367764992</c:v>
                </c:pt>
                <c:pt idx="4">
                  <c:v>9.5788494110525022</c:v>
                </c:pt>
                <c:pt idx="5">
                  <c:v>6.9221850114477075</c:v>
                </c:pt>
                <c:pt idx="6">
                  <c:v>9.2658960444179534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52-481D-96B7-6AB69523C327}"/>
            </c:ext>
          </c:extLst>
        </c:ser>
        <c:ser>
          <c:idx val="1"/>
          <c:order val="1"/>
          <c:tx>
            <c:v>Pulse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Dc</c:v>
              </c:pt>
              <c:pt idx="1">
                <c:v>Dnc1</c:v>
              </c:pt>
              <c:pt idx="2">
                <c:v>Dnc2</c:v>
              </c:pt>
              <c:pt idx="3">
                <c:v>Dnc3</c:v>
              </c:pt>
              <c:pt idx="4">
                <c:v>Dnc4</c:v>
              </c:pt>
              <c:pt idx="5">
                <c:v>Dnc5</c:v>
              </c:pt>
              <c:pt idx="6">
                <c:v>Dnc6</c:v>
              </c:pt>
            </c:strLit>
          </c:cat>
          <c:val>
            <c:numRef>
              <c:f>(Sheet1!$S$7,Sheet1!$S$10,Sheet1!$S$13,Sheet1!$S$16,Sheet1!$S$19,Sheet1!$S$22,Sheet1!$S$25)</c:f>
              <c:numCache>
                <c:formatCode>0.000</c:formatCode>
                <c:ptCount val="7"/>
                <c:pt idx="0">
                  <c:v>13.034877983327121</c:v>
                </c:pt>
                <c:pt idx="1">
                  <c:v>33.920473367373752</c:v>
                </c:pt>
                <c:pt idx="2">
                  <c:v>17.955801104972377</c:v>
                </c:pt>
                <c:pt idx="3">
                  <c:v>14.145206061497436</c:v>
                </c:pt>
                <c:pt idx="4">
                  <c:v>23.740675882406425</c:v>
                </c:pt>
                <c:pt idx="5">
                  <c:v>21.065217773557691</c:v>
                </c:pt>
                <c:pt idx="6">
                  <c:v>34.496332702338151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52-481D-96B7-6AB69523C327}"/>
            </c:ext>
          </c:extLst>
        </c:ser>
        <c:ser>
          <c:idx val="2"/>
          <c:order val="2"/>
          <c:tx>
            <c:v>Pulse 3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Dc</c:v>
              </c:pt>
              <c:pt idx="1">
                <c:v>Dnc1</c:v>
              </c:pt>
              <c:pt idx="2">
                <c:v>Dnc2</c:v>
              </c:pt>
              <c:pt idx="3">
                <c:v>Dnc3</c:v>
              </c:pt>
              <c:pt idx="4">
                <c:v>Dnc4</c:v>
              </c:pt>
              <c:pt idx="5">
                <c:v>Dnc5</c:v>
              </c:pt>
              <c:pt idx="6">
                <c:v>Dnc6</c:v>
              </c:pt>
            </c:strLit>
          </c:cat>
          <c:val>
            <c:numRef>
              <c:f>(Sheet1!$S$8,Sheet1!$S$11,Sheet1!$S$14,Sheet1!$S$17,Sheet1!$S$20,Sheet1!$S$23,Sheet1!$S$26)</c:f>
              <c:numCache>
                <c:formatCode>0.000</c:formatCode>
                <c:ptCount val="7"/>
                <c:pt idx="0">
                  <c:v>21.698187100357444</c:v>
                </c:pt>
                <c:pt idx="1">
                  <c:v>33.828219819921536</c:v>
                </c:pt>
                <c:pt idx="2">
                  <c:v>25.498895988759156</c:v>
                </c:pt>
                <c:pt idx="3">
                  <c:v>20.773199565162571</c:v>
                </c:pt>
                <c:pt idx="4">
                  <c:v>36.741726957489618</c:v>
                </c:pt>
                <c:pt idx="5">
                  <c:v>33.076464996339574</c:v>
                </c:pt>
                <c:pt idx="6">
                  <c:v>33.730169903869452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52-481D-96B7-6AB69523C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42256"/>
        <c:axId val="1101135536"/>
      </c:barChart>
      <c:catAx>
        <c:axId val="110114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Electrode Design Number</a:t>
                </a:r>
              </a:p>
            </c:rich>
          </c:tx>
          <c:layout>
            <c:manualLayout>
              <c:xMode val="edge"/>
              <c:yMode val="edge"/>
              <c:x val="0.4265338692862588"/>
              <c:y val="0.86174186608671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135536"/>
        <c:crosses val="autoZero"/>
        <c:auto val="1"/>
        <c:lblAlgn val="ctr"/>
        <c:lblOffset val="100"/>
        <c:noMultiLvlLbl val="0"/>
      </c:catAx>
      <c:valAx>
        <c:axId val="1101135536"/>
        <c:scaling>
          <c:orientation val="minMax"/>
          <c:max val="4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MRR (mm3/min)</a:t>
                </a:r>
              </a:p>
            </c:rich>
          </c:tx>
          <c:layout>
            <c:manualLayout>
              <c:xMode val="edge"/>
              <c:yMode val="edge"/>
              <c:x val="1.4655099330262525E-2"/>
              <c:y val="0.297680577308131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142256"/>
        <c:crosses val="autoZero"/>
        <c:crossBetween val="between"/>
        <c:majorUnit val="5"/>
        <c:min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Tool Wear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Pulse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Dc</c:v>
              </c:pt>
              <c:pt idx="1">
                <c:v>Dnc1</c:v>
              </c:pt>
              <c:pt idx="2">
                <c:v>Dnc2</c:v>
              </c:pt>
              <c:pt idx="3">
                <c:v>Dnc3</c:v>
              </c:pt>
              <c:pt idx="4">
                <c:v>Dnc4</c:v>
              </c:pt>
              <c:pt idx="5">
                <c:v>Dnc5</c:v>
              </c:pt>
              <c:pt idx="6">
                <c:v>Dnc6</c:v>
              </c:pt>
            </c:strLit>
          </c:cat>
          <c:val>
            <c:numRef>
              <c:f>(Sheet1!$T$6,Sheet1!$T$9,Sheet1!$T$12,Sheet1!$T$15,Sheet1!$T$18,Sheet1!$T$21,Sheet1!$T$24)</c:f>
              <c:numCache>
                <c:formatCode>0.000</c:formatCode>
                <c:ptCount val="7"/>
                <c:pt idx="0">
                  <c:v>1.2704475184816768E-2</c:v>
                </c:pt>
                <c:pt idx="1">
                  <c:v>1.9463497319455989E-2</c:v>
                </c:pt>
                <c:pt idx="2">
                  <c:v>1.4419779260457732E-2</c:v>
                </c:pt>
                <c:pt idx="3">
                  <c:v>1.1929993154650707E-2</c:v>
                </c:pt>
                <c:pt idx="4">
                  <c:v>2.2581692141876823E-2</c:v>
                </c:pt>
                <c:pt idx="5">
                  <c:v>1.2779087815649525E-2</c:v>
                </c:pt>
                <c:pt idx="6">
                  <c:v>1.802119790009319E-2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E2-47B1-8AAF-01ACB8C7F18E}"/>
            </c:ext>
          </c:extLst>
        </c:ser>
        <c:ser>
          <c:idx val="1"/>
          <c:order val="1"/>
          <c:tx>
            <c:v>Pulse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Dc</c:v>
              </c:pt>
              <c:pt idx="1">
                <c:v>Dnc1</c:v>
              </c:pt>
              <c:pt idx="2">
                <c:v>Dnc2</c:v>
              </c:pt>
              <c:pt idx="3">
                <c:v>Dnc3</c:v>
              </c:pt>
              <c:pt idx="4">
                <c:v>Dnc4</c:v>
              </c:pt>
              <c:pt idx="5">
                <c:v>Dnc5</c:v>
              </c:pt>
              <c:pt idx="6">
                <c:v>Dnc6</c:v>
              </c:pt>
            </c:strLit>
          </c:cat>
          <c:val>
            <c:numRef>
              <c:f>(Sheet1!$T$7,Sheet1!$T$10,Sheet1!$T$13,Sheet1!$T$16,Sheet1!$T$19,Sheet1!$T$22,Sheet1!$T$25)</c:f>
              <c:numCache>
                <c:formatCode>0.000</c:formatCode>
                <c:ptCount val="7"/>
                <c:pt idx="0">
                  <c:v>4.9218269821758892E-2</c:v>
                </c:pt>
                <c:pt idx="1">
                  <c:v>0.16157238442823318</c:v>
                </c:pt>
                <c:pt idx="2">
                  <c:v>8.4270586687715573E-2</c:v>
                </c:pt>
                <c:pt idx="3">
                  <c:v>6.7522968909095593E-2</c:v>
                </c:pt>
                <c:pt idx="4">
                  <c:v>0.10932049637143776</c:v>
                </c:pt>
                <c:pt idx="5">
                  <c:v>9.8649010165871812E-2</c:v>
                </c:pt>
                <c:pt idx="6">
                  <c:v>0.12477247372438752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E2-47B1-8AAF-01ACB8C7F18E}"/>
            </c:ext>
          </c:extLst>
        </c:ser>
        <c:ser>
          <c:idx val="2"/>
          <c:order val="2"/>
          <c:tx>
            <c:v>Pulse 3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Dc</c:v>
              </c:pt>
              <c:pt idx="1">
                <c:v>Dnc1</c:v>
              </c:pt>
              <c:pt idx="2">
                <c:v>Dnc2</c:v>
              </c:pt>
              <c:pt idx="3">
                <c:v>Dnc3</c:v>
              </c:pt>
              <c:pt idx="4">
                <c:v>Dnc4</c:v>
              </c:pt>
              <c:pt idx="5">
                <c:v>Dnc5</c:v>
              </c:pt>
              <c:pt idx="6">
                <c:v>Dnc6</c:v>
              </c:pt>
            </c:strLit>
          </c:cat>
          <c:val>
            <c:numRef>
              <c:f>(Sheet1!$T$8,Sheet1!$T$11,Sheet1!$T$14,Sheet1!$T$17,Sheet1!$T$20,Sheet1!$T$23,Sheet1!$T$26)</c:f>
              <c:numCache>
                <c:formatCode>0.000</c:formatCode>
                <c:ptCount val="7"/>
                <c:pt idx="0">
                  <c:v>0.13936786797631681</c:v>
                </c:pt>
                <c:pt idx="1">
                  <c:v>0.25989478957915657</c:v>
                </c:pt>
                <c:pt idx="2">
                  <c:v>0.19584270020359962</c:v>
                </c:pt>
                <c:pt idx="3">
                  <c:v>0.14717128685493308</c:v>
                </c:pt>
                <c:pt idx="4">
                  <c:v>0.25733127597543004</c:v>
                </c:pt>
                <c:pt idx="5">
                  <c:v>0.25152734678044825</c:v>
                </c:pt>
                <c:pt idx="6">
                  <c:v>0.24186753869879737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E2-47B1-8AAF-01ACB8C7F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42256"/>
        <c:axId val="1101135536"/>
      </c:barChart>
      <c:catAx>
        <c:axId val="110114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Electrode Design Number</a:t>
                </a:r>
              </a:p>
            </c:rich>
          </c:tx>
          <c:layout>
            <c:manualLayout>
              <c:xMode val="edge"/>
              <c:yMode val="edge"/>
              <c:x val="0.4265338692862588"/>
              <c:y val="0.86174186608671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135536"/>
        <c:crosses val="autoZero"/>
        <c:auto val="1"/>
        <c:lblAlgn val="ctr"/>
        <c:lblOffset val="100"/>
        <c:noMultiLvlLbl val="0"/>
      </c:catAx>
      <c:valAx>
        <c:axId val="1101135536"/>
        <c:scaling>
          <c:orientation val="minMax"/>
          <c:max val="0.28000000000000003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TWR (mm3/min)</a:t>
                </a:r>
              </a:p>
            </c:rich>
          </c:tx>
          <c:layout>
            <c:manualLayout>
              <c:xMode val="edge"/>
              <c:yMode val="edge"/>
              <c:x val="1.4655099330262525E-2"/>
              <c:y val="0.297680577308131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142256"/>
        <c:crosses val="autoZero"/>
        <c:crossBetween val="between"/>
        <c:majorUnit val="2.5000000000000005E-2"/>
        <c:minorUnit val="1.0000000000000002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Machining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Pulse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Dc</c:v>
              </c:pt>
              <c:pt idx="1">
                <c:v>Dnc1</c:v>
              </c:pt>
              <c:pt idx="2">
                <c:v>Dnc2</c:v>
              </c:pt>
              <c:pt idx="3">
                <c:v>Dnc3</c:v>
              </c:pt>
              <c:pt idx="4">
                <c:v>Dnc4</c:v>
              </c:pt>
              <c:pt idx="5">
                <c:v>Dnc5</c:v>
              </c:pt>
              <c:pt idx="6">
                <c:v>Dnc6</c:v>
              </c:pt>
            </c:strLit>
          </c:cat>
          <c:val>
            <c:numRef>
              <c:f>(Sheet1!$R$6,Sheet1!$R$9,Sheet1!$R$12,Sheet1!$R$15,Sheet1!$R$18,Sheet1!$R$21,Sheet1!$R$24)</c:f>
              <c:numCache>
                <c:formatCode>0.00</c:formatCode>
                <c:ptCount val="7"/>
                <c:pt idx="0">
                  <c:v>133.53</c:v>
                </c:pt>
                <c:pt idx="1">
                  <c:v>90.6</c:v>
                </c:pt>
                <c:pt idx="2">
                  <c:v>114.55</c:v>
                </c:pt>
                <c:pt idx="3">
                  <c:v>135.65</c:v>
                </c:pt>
                <c:pt idx="4">
                  <c:v>87.48</c:v>
                </c:pt>
                <c:pt idx="5">
                  <c:v>119.65</c:v>
                </c:pt>
                <c:pt idx="6">
                  <c:v>89.8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1A-432E-8100-692B9205CE23}"/>
            </c:ext>
          </c:extLst>
        </c:ser>
        <c:ser>
          <c:idx val="1"/>
          <c:order val="1"/>
          <c:tx>
            <c:v>Pulse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Dc</c:v>
              </c:pt>
              <c:pt idx="1">
                <c:v>Dnc1</c:v>
              </c:pt>
              <c:pt idx="2">
                <c:v>Dnc2</c:v>
              </c:pt>
              <c:pt idx="3">
                <c:v>Dnc3</c:v>
              </c:pt>
              <c:pt idx="4">
                <c:v>Dnc4</c:v>
              </c:pt>
              <c:pt idx="5">
                <c:v>Dnc5</c:v>
              </c:pt>
              <c:pt idx="6">
                <c:v>Dnc6</c:v>
              </c:pt>
            </c:strLit>
          </c:cat>
          <c:val>
            <c:numRef>
              <c:f>(Sheet1!$R$7,Sheet1!$R$10,Sheet1!$R$13,Sheet1!$R$16,Sheet1!$R$19,Sheet1!$R$22,Sheet1!$R$25)</c:f>
              <c:numCache>
                <c:formatCode>0.00</c:formatCode>
                <c:ptCount val="7"/>
                <c:pt idx="0">
                  <c:v>65.08</c:v>
                </c:pt>
                <c:pt idx="1">
                  <c:v>24.66</c:v>
                </c:pt>
                <c:pt idx="2">
                  <c:v>38.01</c:v>
                </c:pt>
                <c:pt idx="3">
                  <c:v>60.33</c:v>
                </c:pt>
                <c:pt idx="4">
                  <c:v>35.630000000000003</c:v>
                </c:pt>
                <c:pt idx="5">
                  <c:v>40.049999999999997</c:v>
                </c:pt>
                <c:pt idx="6">
                  <c:v>24.33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1A-432E-8100-692B9205CE23}"/>
            </c:ext>
          </c:extLst>
        </c:ser>
        <c:ser>
          <c:idx val="2"/>
          <c:order val="2"/>
          <c:tx>
            <c:v>Pulse 3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Dc</c:v>
              </c:pt>
              <c:pt idx="1">
                <c:v>Dnc1</c:v>
              </c:pt>
              <c:pt idx="2">
                <c:v>Dnc2</c:v>
              </c:pt>
              <c:pt idx="3">
                <c:v>Dnc3</c:v>
              </c:pt>
              <c:pt idx="4">
                <c:v>Dnc4</c:v>
              </c:pt>
              <c:pt idx="5">
                <c:v>Dnc5</c:v>
              </c:pt>
              <c:pt idx="6">
                <c:v>Dnc6</c:v>
              </c:pt>
            </c:strLit>
          </c:cat>
          <c:val>
            <c:numRef>
              <c:f>(Sheet1!$R$8,Sheet1!$R$11,Sheet1!$R$14,Sheet1!$R$17,Sheet1!$R$20,Sheet1!$R$23,Sheet1!$R$26)</c:f>
              <c:numCache>
                <c:formatCode>0.00</c:formatCode>
                <c:ptCount val="7"/>
                <c:pt idx="0">
                  <c:v>39.56</c:v>
                </c:pt>
                <c:pt idx="1">
                  <c:v>24.95</c:v>
                </c:pt>
                <c:pt idx="2">
                  <c:v>33.68</c:v>
                </c:pt>
                <c:pt idx="3">
                  <c:v>41.33</c:v>
                </c:pt>
                <c:pt idx="4">
                  <c:v>23.03</c:v>
                </c:pt>
                <c:pt idx="5">
                  <c:v>25.78</c:v>
                </c:pt>
                <c:pt idx="6">
                  <c:v>25.01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1A-432E-8100-692B9205C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42256"/>
        <c:axId val="1101135536"/>
      </c:barChart>
      <c:catAx>
        <c:axId val="110114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Electrode Design Number</a:t>
                </a:r>
              </a:p>
            </c:rich>
          </c:tx>
          <c:layout>
            <c:manualLayout>
              <c:xMode val="edge"/>
              <c:yMode val="edge"/>
              <c:x val="0.4265338692862588"/>
              <c:y val="0.86174186608671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135536"/>
        <c:crosses val="autoZero"/>
        <c:auto val="1"/>
        <c:lblAlgn val="ctr"/>
        <c:lblOffset val="100"/>
        <c:noMultiLvlLbl val="0"/>
      </c:catAx>
      <c:valAx>
        <c:axId val="1101135536"/>
        <c:scaling>
          <c:orientation val="minMax"/>
          <c:max val="14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Machining</a:t>
                </a:r>
                <a:r>
                  <a:rPr lang="en-US" b="1" baseline="0"/>
                  <a:t> Time (</a:t>
                </a:r>
                <a:r>
                  <a:rPr lang="en-US" b="1"/>
                  <a:t>min)</a:t>
                </a:r>
              </a:p>
            </c:rich>
          </c:tx>
          <c:layout>
            <c:manualLayout>
              <c:xMode val="edge"/>
              <c:yMode val="edge"/>
              <c:x val="1.4655099330262525E-2"/>
              <c:y val="0.297680577308131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142256"/>
        <c:crosses val="autoZero"/>
        <c:crossBetween val="between"/>
        <c:majorUnit val="10"/>
        <c:min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Overcut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Pulse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Dc</c:v>
              </c:pt>
              <c:pt idx="1">
                <c:v>Dnc1</c:v>
              </c:pt>
              <c:pt idx="2">
                <c:v>Dnc2</c:v>
              </c:pt>
              <c:pt idx="3">
                <c:v>Dnc3</c:v>
              </c:pt>
              <c:pt idx="4">
                <c:v>Dnc4</c:v>
              </c:pt>
              <c:pt idx="5">
                <c:v>Dnc5</c:v>
              </c:pt>
              <c:pt idx="6">
                <c:v>Dnc6</c:v>
              </c:pt>
            </c:strLit>
          </c:cat>
          <c:val>
            <c:numRef>
              <c:f>(Sheet1!$X$6,Sheet1!$X$9,Sheet1!$X$12,Sheet1!$X$15,Sheet1!$X$18,Sheet1!$X$21,Sheet1!$X$24)</c:f>
              <c:numCache>
                <c:formatCode>0.00</c:formatCode>
                <c:ptCount val="7"/>
                <c:pt idx="0">
                  <c:v>0.12999999999999989</c:v>
                </c:pt>
                <c:pt idx="1">
                  <c:v>0.12999999999999989</c:v>
                </c:pt>
                <c:pt idx="2">
                  <c:v>0.14499999999999957</c:v>
                </c:pt>
                <c:pt idx="3">
                  <c:v>0.12999999999999989</c:v>
                </c:pt>
                <c:pt idx="4">
                  <c:v>0.13499999999999979</c:v>
                </c:pt>
                <c:pt idx="5">
                  <c:v>0.12000000000000011</c:v>
                </c:pt>
                <c:pt idx="6">
                  <c:v>0.12999999999999989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2-4C3A-80EC-75C6585C2057}"/>
            </c:ext>
          </c:extLst>
        </c:ser>
        <c:ser>
          <c:idx val="1"/>
          <c:order val="1"/>
          <c:tx>
            <c:v>Pulse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Dc</c:v>
              </c:pt>
              <c:pt idx="1">
                <c:v>Dnc1</c:v>
              </c:pt>
              <c:pt idx="2">
                <c:v>Dnc2</c:v>
              </c:pt>
              <c:pt idx="3">
                <c:v>Dnc3</c:v>
              </c:pt>
              <c:pt idx="4">
                <c:v>Dnc4</c:v>
              </c:pt>
              <c:pt idx="5">
                <c:v>Dnc5</c:v>
              </c:pt>
              <c:pt idx="6">
                <c:v>Dnc6</c:v>
              </c:pt>
            </c:strLit>
          </c:cat>
          <c:val>
            <c:numRef>
              <c:f>(Sheet1!$X$7,Sheet1!$X$10,Sheet1!$X$13,Sheet1!$X$16,Sheet1!$X$19,Sheet1!$X$22,Sheet1!$X$25)</c:f>
              <c:numCache>
                <c:formatCode>0.00</c:formatCode>
                <c:ptCount val="7"/>
                <c:pt idx="0">
                  <c:v>0.16500000000000004</c:v>
                </c:pt>
                <c:pt idx="1">
                  <c:v>0.15500000000000025</c:v>
                </c:pt>
                <c:pt idx="2">
                  <c:v>0.19500000000000028</c:v>
                </c:pt>
                <c:pt idx="3">
                  <c:v>0.16999999999999993</c:v>
                </c:pt>
                <c:pt idx="4">
                  <c:v>0.16500000000000004</c:v>
                </c:pt>
                <c:pt idx="5">
                  <c:v>0.16500000000000004</c:v>
                </c:pt>
                <c:pt idx="6">
                  <c:v>0.15500000000000025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62-4C3A-80EC-75C6585C2057}"/>
            </c:ext>
          </c:extLst>
        </c:ser>
        <c:ser>
          <c:idx val="2"/>
          <c:order val="2"/>
          <c:tx>
            <c:v>Pulse 3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Dc</c:v>
              </c:pt>
              <c:pt idx="1">
                <c:v>Dnc1</c:v>
              </c:pt>
              <c:pt idx="2">
                <c:v>Dnc2</c:v>
              </c:pt>
              <c:pt idx="3">
                <c:v>Dnc3</c:v>
              </c:pt>
              <c:pt idx="4">
                <c:v>Dnc4</c:v>
              </c:pt>
              <c:pt idx="5">
                <c:v>Dnc5</c:v>
              </c:pt>
              <c:pt idx="6">
                <c:v>Dnc6</c:v>
              </c:pt>
            </c:strLit>
          </c:cat>
          <c:val>
            <c:numRef>
              <c:f>(Sheet1!$X$8,Sheet1!$X$11,Sheet1!$X$14,Sheet1!$X$17,Sheet1!$X$20,Sheet1!$X$23,Sheet1!$X$26)</c:f>
              <c:numCache>
                <c:formatCode>0.00</c:formatCode>
                <c:ptCount val="7"/>
                <c:pt idx="0">
                  <c:v>0.19000000000000039</c:v>
                </c:pt>
                <c:pt idx="1">
                  <c:v>0.18499999999999961</c:v>
                </c:pt>
                <c:pt idx="2">
                  <c:v>0.21499999999999986</c:v>
                </c:pt>
                <c:pt idx="3">
                  <c:v>0.20500000000000007</c:v>
                </c:pt>
                <c:pt idx="4">
                  <c:v>0.17999999999999972</c:v>
                </c:pt>
                <c:pt idx="5">
                  <c:v>0.19500000000000028</c:v>
                </c:pt>
                <c:pt idx="6">
                  <c:v>0.16999999999999993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62-4C3A-80EC-75C6585C2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42256"/>
        <c:axId val="1101135536"/>
      </c:barChart>
      <c:catAx>
        <c:axId val="110114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Electrode Design Number</a:t>
                </a:r>
              </a:p>
            </c:rich>
          </c:tx>
          <c:layout>
            <c:manualLayout>
              <c:xMode val="edge"/>
              <c:yMode val="edge"/>
              <c:x val="0.4265338692862588"/>
              <c:y val="0.86174186608671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135536"/>
        <c:crosses val="autoZero"/>
        <c:auto val="1"/>
        <c:lblAlgn val="ctr"/>
        <c:lblOffset val="100"/>
        <c:noMultiLvlLbl val="0"/>
      </c:catAx>
      <c:valAx>
        <c:axId val="1101135536"/>
        <c:scaling>
          <c:orientation val="minMax"/>
          <c:max val="0.22500000000000003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Overcut (mm)</a:t>
                </a:r>
              </a:p>
            </c:rich>
          </c:tx>
          <c:layout>
            <c:manualLayout>
              <c:xMode val="edge"/>
              <c:yMode val="edge"/>
              <c:x val="1.4655099330262525E-2"/>
              <c:y val="0.297680577308131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142256"/>
        <c:crosses val="autoZero"/>
        <c:crossBetween val="between"/>
        <c:majorUnit val="2.5000000000000005E-2"/>
        <c:minorUnit val="1.0000000000000002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Surface Rougness (Ra) Cylinderical Surface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Pulse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Dc</c:v>
              </c:pt>
              <c:pt idx="1">
                <c:v>Dnc1</c:v>
              </c:pt>
              <c:pt idx="2">
                <c:v>Dnc2</c:v>
              </c:pt>
              <c:pt idx="3">
                <c:v>Dnc3</c:v>
              </c:pt>
              <c:pt idx="4">
                <c:v>Dnc4</c:v>
              </c:pt>
              <c:pt idx="5">
                <c:v>Dnc5</c:v>
              </c:pt>
              <c:pt idx="6">
                <c:v>Dnc6</c:v>
              </c:pt>
            </c:strLit>
          </c:cat>
          <c:val>
            <c:numRef>
              <c:f>(Sheet1!$U$6,Sheet1!$U$9,Sheet1!$U$12,Sheet1!$U$15,Sheet1!$U$18,Sheet1!$U$21,Sheet1!$U$24)</c:f>
              <c:numCache>
                <c:formatCode>0.000</c:formatCode>
                <c:ptCount val="7"/>
                <c:pt idx="0">
                  <c:v>2.4359999999999999</c:v>
                </c:pt>
                <c:pt idx="1">
                  <c:v>2.2450000000000001</c:v>
                </c:pt>
                <c:pt idx="2">
                  <c:v>2.2679999999999998</c:v>
                </c:pt>
                <c:pt idx="3">
                  <c:v>2.6259999999999999</c:v>
                </c:pt>
                <c:pt idx="4">
                  <c:v>3.1539999999999999</c:v>
                </c:pt>
                <c:pt idx="5">
                  <c:v>2.39</c:v>
                </c:pt>
                <c:pt idx="6">
                  <c:v>2.5609999999999999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9-4B36-860C-61595E9D3E7D}"/>
            </c:ext>
          </c:extLst>
        </c:ser>
        <c:ser>
          <c:idx val="1"/>
          <c:order val="1"/>
          <c:tx>
            <c:v>Pulse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Dc</c:v>
              </c:pt>
              <c:pt idx="1">
                <c:v>Dnc1</c:v>
              </c:pt>
              <c:pt idx="2">
                <c:v>Dnc2</c:v>
              </c:pt>
              <c:pt idx="3">
                <c:v>Dnc3</c:v>
              </c:pt>
              <c:pt idx="4">
                <c:v>Dnc4</c:v>
              </c:pt>
              <c:pt idx="5">
                <c:v>Dnc5</c:v>
              </c:pt>
              <c:pt idx="6">
                <c:v>Dnc6</c:v>
              </c:pt>
            </c:strLit>
          </c:cat>
          <c:val>
            <c:numRef>
              <c:f>(Sheet1!$U$7,Sheet1!$U$10,Sheet1!$U$13,Sheet1!$U$16,Sheet1!$U$19,Sheet1!$U$22,Sheet1!$U$25)</c:f>
              <c:numCache>
                <c:formatCode>0.000</c:formatCode>
                <c:ptCount val="7"/>
                <c:pt idx="0">
                  <c:v>3.1920000000000002</c:v>
                </c:pt>
                <c:pt idx="1">
                  <c:v>3.1120000000000001</c:v>
                </c:pt>
                <c:pt idx="2">
                  <c:v>2.0640000000000001</c:v>
                </c:pt>
                <c:pt idx="3">
                  <c:v>3.169</c:v>
                </c:pt>
                <c:pt idx="4">
                  <c:v>3.6360000000000001</c:v>
                </c:pt>
                <c:pt idx="5">
                  <c:v>3.1070000000000002</c:v>
                </c:pt>
                <c:pt idx="6">
                  <c:v>3.5209999999999999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79-4B36-860C-61595E9D3E7D}"/>
            </c:ext>
          </c:extLst>
        </c:ser>
        <c:ser>
          <c:idx val="2"/>
          <c:order val="2"/>
          <c:tx>
            <c:v>Pulse 3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Dc</c:v>
              </c:pt>
              <c:pt idx="1">
                <c:v>Dnc1</c:v>
              </c:pt>
              <c:pt idx="2">
                <c:v>Dnc2</c:v>
              </c:pt>
              <c:pt idx="3">
                <c:v>Dnc3</c:v>
              </c:pt>
              <c:pt idx="4">
                <c:v>Dnc4</c:v>
              </c:pt>
              <c:pt idx="5">
                <c:v>Dnc5</c:v>
              </c:pt>
              <c:pt idx="6">
                <c:v>Dnc6</c:v>
              </c:pt>
            </c:strLit>
          </c:cat>
          <c:val>
            <c:numRef>
              <c:f>(Sheet1!$U$8,Sheet1!$U$11,Sheet1!$U$14,Sheet1!$U$17,Sheet1!$U$20,Sheet1!$U$23,Sheet1!$U$26)</c:f>
              <c:numCache>
                <c:formatCode>0.000</c:formatCode>
                <c:ptCount val="7"/>
                <c:pt idx="0">
                  <c:v>3.2650000000000001</c:v>
                </c:pt>
                <c:pt idx="1">
                  <c:v>4.5439999999999996</c:v>
                </c:pt>
                <c:pt idx="2">
                  <c:v>3.968</c:v>
                </c:pt>
                <c:pt idx="3">
                  <c:v>3.45</c:v>
                </c:pt>
                <c:pt idx="4">
                  <c:v>4.476</c:v>
                </c:pt>
                <c:pt idx="5">
                  <c:v>4.0010000000000003</c:v>
                </c:pt>
                <c:pt idx="6">
                  <c:v>4.3419999999999996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79-4B36-860C-61595E9D3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42256"/>
        <c:axId val="1101135536"/>
      </c:barChart>
      <c:catAx>
        <c:axId val="110114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Electrode Design Number</a:t>
                </a:r>
              </a:p>
            </c:rich>
          </c:tx>
          <c:layout>
            <c:manualLayout>
              <c:xMode val="edge"/>
              <c:yMode val="edge"/>
              <c:x val="0.4265338692862588"/>
              <c:y val="0.86174186608671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135536"/>
        <c:crosses val="autoZero"/>
        <c:auto val="1"/>
        <c:lblAlgn val="ctr"/>
        <c:lblOffset val="100"/>
        <c:noMultiLvlLbl val="0"/>
      </c:catAx>
      <c:valAx>
        <c:axId val="1101135536"/>
        <c:scaling>
          <c:orientation val="minMax"/>
          <c:max val="4.8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Surface Roughness Ra (µm)</a:t>
                </a:r>
              </a:p>
            </c:rich>
          </c:tx>
          <c:layout>
            <c:manualLayout>
              <c:xMode val="edge"/>
              <c:yMode val="edge"/>
              <c:x val="1.4655099330262525E-2"/>
              <c:y val="0.297680577308131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142256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Surface Rougness (Ra) Bottom Surface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Pulse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Dc</c:v>
              </c:pt>
              <c:pt idx="1">
                <c:v>Dnc1</c:v>
              </c:pt>
              <c:pt idx="2">
                <c:v>Dnc2</c:v>
              </c:pt>
              <c:pt idx="3">
                <c:v>Dnc3</c:v>
              </c:pt>
              <c:pt idx="4">
                <c:v>Dnc4</c:v>
              </c:pt>
              <c:pt idx="5">
                <c:v>Dnc5</c:v>
              </c:pt>
              <c:pt idx="6">
                <c:v>Dnc6</c:v>
              </c:pt>
            </c:strLit>
          </c:cat>
          <c:val>
            <c:numRef>
              <c:f>(Sheet1!$V$6,Sheet1!$V$9,Sheet1!$V$12,Sheet1!$V$15,Sheet1!$V$18,Sheet1!$V$21,Sheet1!$V$24)</c:f>
              <c:numCache>
                <c:formatCode>0.000</c:formatCode>
                <c:ptCount val="7"/>
                <c:pt idx="0">
                  <c:v>1.764</c:v>
                </c:pt>
                <c:pt idx="1">
                  <c:v>1.6930000000000001</c:v>
                </c:pt>
                <c:pt idx="2">
                  <c:v>2.4020000000000001</c:v>
                </c:pt>
                <c:pt idx="3">
                  <c:v>1.976</c:v>
                </c:pt>
                <c:pt idx="4">
                  <c:v>1.897</c:v>
                </c:pt>
                <c:pt idx="5">
                  <c:v>1.5760000000000001</c:v>
                </c:pt>
                <c:pt idx="6">
                  <c:v>1.204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B-46A3-8632-4EAE75898621}"/>
            </c:ext>
          </c:extLst>
        </c:ser>
        <c:ser>
          <c:idx val="1"/>
          <c:order val="1"/>
          <c:tx>
            <c:v>Pulse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Dc</c:v>
              </c:pt>
              <c:pt idx="1">
                <c:v>Dnc1</c:v>
              </c:pt>
              <c:pt idx="2">
                <c:v>Dnc2</c:v>
              </c:pt>
              <c:pt idx="3">
                <c:v>Dnc3</c:v>
              </c:pt>
              <c:pt idx="4">
                <c:v>Dnc4</c:v>
              </c:pt>
              <c:pt idx="5">
                <c:v>Dnc5</c:v>
              </c:pt>
              <c:pt idx="6">
                <c:v>Dnc6</c:v>
              </c:pt>
            </c:strLit>
          </c:cat>
          <c:val>
            <c:numRef>
              <c:f>(Sheet1!$V$7,Sheet1!$V$10,Sheet1!$V$13,Sheet1!$V$16,Sheet1!$V$19,Sheet1!$V$22,Sheet1!$V$25)</c:f>
              <c:numCache>
                <c:formatCode>0.000</c:formatCode>
                <c:ptCount val="7"/>
                <c:pt idx="0">
                  <c:v>5.57</c:v>
                </c:pt>
                <c:pt idx="1">
                  <c:v>5.2629999999999999</c:v>
                </c:pt>
                <c:pt idx="2">
                  <c:v>2.6019999999999999</c:v>
                </c:pt>
                <c:pt idx="3">
                  <c:v>2.5499999999999998</c:v>
                </c:pt>
                <c:pt idx="4">
                  <c:v>3.907</c:v>
                </c:pt>
                <c:pt idx="5">
                  <c:v>5.8940000000000001</c:v>
                </c:pt>
                <c:pt idx="6">
                  <c:v>5.218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EB-46A3-8632-4EAE75898621}"/>
            </c:ext>
          </c:extLst>
        </c:ser>
        <c:ser>
          <c:idx val="2"/>
          <c:order val="2"/>
          <c:tx>
            <c:v>Pulse 3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Dc</c:v>
              </c:pt>
              <c:pt idx="1">
                <c:v>Dnc1</c:v>
              </c:pt>
              <c:pt idx="2">
                <c:v>Dnc2</c:v>
              </c:pt>
              <c:pt idx="3">
                <c:v>Dnc3</c:v>
              </c:pt>
              <c:pt idx="4">
                <c:v>Dnc4</c:v>
              </c:pt>
              <c:pt idx="5">
                <c:v>Dnc5</c:v>
              </c:pt>
              <c:pt idx="6">
                <c:v>Dnc6</c:v>
              </c:pt>
            </c:strLit>
          </c:cat>
          <c:val>
            <c:numRef>
              <c:f>(Sheet1!$V$8,Sheet1!$V$11,Sheet1!$V$14,Sheet1!$V$17,Sheet1!$V$20,Sheet1!$V$23,Sheet1!$V$26)</c:f>
              <c:numCache>
                <c:formatCode>0.000</c:formatCode>
                <c:ptCount val="7"/>
                <c:pt idx="0">
                  <c:v>3.1320000000000001</c:v>
                </c:pt>
                <c:pt idx="1">
                  <c:v>4.2969999999999997</c:v>
                </c:pt>
                <c:pt idx="2">
                  <c:v>6.141</c:v>
                </c:pt>
                <c:pt idx="3">
                  <c:v>7.7880000000000003</c:v>
                </c:pt>
                <c:pt idx="4">
                  <c:v>2.9420000000000002</c:v>
                </c:pt>
                <c:pt idx="5">
                  <c:v>4.3019999999999996</c:v>
                </c:pt>
                <c:pt idx="6">
                  <c:v>6.4459999999999997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EB-46A3-8632-4EAE75898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42256"/>
        <c:axId val="1101135536"/>
      </c:barChart>
      <c:catAx>
        <c:axId val="110114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Electrode Design Number</a:t>
                </a:r>
              </a:p>
            </c:rich>
          </c:tx>
          <c:layout>
            <c:manualLayout>
              <c:xMode val="edge"/>
              <c:yMode val="edge"/>
              <c:x val="0.4265338692862588"/>
              <c:y val="0.86174186608671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135536"/>
        <c:crosses val="autoZero"/>
        <c:auto val="1"/>
        <c:lblAlgn val="ctr"/>
        <c:lblOffset val="100"/>
        <c:noMultiLvlLbl val="0"/>
      </c:catAx>
      <c:valAx>
        <c:axId val="1101135536"/>
        <c:scaling>
          <c:orientation val="minMax"/>
          <c:max val="8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Surface Roughness Ra (µm)</a:t>
                </a:r>
              </a:p>
            </c:rich>
          </c:tx>
          <c:layout>
            <c:manualLayout>
              <c:xMode val="edge"/>
              <c:yMode val="edge"/>
              <c:x val="1.4655099330262525E-2"/>
              <c:y val="0.297680577308131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142256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Surface Rougness (Sa) Bottom Surface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Pulse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Dc</c:v>
              </c:pt>
              <c:pt idx="1">
                <c:v>Dnc1</c:v>
              </c:pt>
              <c:pt idx="2">
                <c:v>Dnc2</c:v>
              </c:pt>
              <c:pt idx="3">
                <c:v>Dnc3</c:v>
              </c:pt>
              <c:pt idx="4">
                <c:v>Dnc4</c:v>
              </c:pt>
              <c:pt idx="5">
                <c:v>Dnc5</c:v>
              </c:pt>
              <c:pt idx="6">
                <c:v>Dnc6</c:v>
              </c:pt>
            </c:strLit>
          </c:cat>
          <c:val>
            <c:numRef>
              <c:f>(Sheet1!$W$6,Sheet1!$W$9,Sheet1!$W$12,Sheet1!$W$15,Sheet1!$W$18,Sheet1!$W$21,Sheet1!$W$24)</c:f>
              <c:numCache>
                <c:formatCode>0.000</c:formatCode>
                <c:ptCount val="7"/>
                <c:pt idx="0">
                  <c:v>2.9870000000000001</c:v>
                </c:pt>
                <c:pt idx="1">
                  <c:v>2.7909999999999999</c:v>
                </c:pt>
                <c:pt idx="2">
                  <c:v>3.0830000000000002</c:v>
                </c:pt>
                <c:pt idx="3">
                  <c:v>3.04</c:v>
                </c:pt>
                <c:pt idx="4">
                  <c:v>2.464</c:v>
                </c:pt>
                <c:pt idx="5">
                  <c:v>1.7589999999999999</c:v>
                </c:pt>
                <c:pt idx="6">
                  <c:v>2.3420000000000001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8-4C8B-8B7D-94ACF4D67201}"/>
            </c:ext>
          </c:extLst>
        </c:ser>
        <c:ser>
          <c:idx val="1"/>
          <c:order val="1"/>
          <c:tx>
            <c:v>Pulse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Dc</c:v>
              </c:pt>
              <c:pt idx="1">
                <c:v>Dnc1</c:v>
              </c:pt>
              <c:pt idx="2">
                <c:v>Dnc2</c:v>
              </c:pt>
              <c:pt idx="3">
                <c:v>Dnc3</c:v>
              </c:pt>
              <c:pt idx="4">
                <c:v>Dnc4</c:v>
              </c:pt>
              <c:pt idx="5">
                <c:v>Dnc5</c:v>
              </c:pt>
              <c:pt idx="6">
                <c:v>Dnc6</c:v>
              </c:pt>
            </c:strLit>
          </c:cat>
          <c:val>
            <c:numRef>
              <c:f>(Sheet1!$W$7,Sheet1!$W$10,Sheet1!$W$13,Sheet1!$W$16,Sheet1!$W$19,Sheet1!$W$22,Sheet1!$W$25)</c:f>
              <c:numCache>
                <c:formatCode>0.000</c:formatCode>
                <c:ptCount val="7"/>
                <c:pt idx="0">
                  <c:v>5.8559999999999999</c:v>
                </c:pt>
                <c:pt idx="1">
                  <c:v>5.6749999999999998</c:v>
                </c:pt>
                <c:pt idx="2">
                  <c:v>4.0869999999999997</c:v>
                </c:pt>
                <c:pt idx="3">
                  <c:v>5.2549999999999999</c:v>
                </c:pt>
                <c:pt idx="4">
                  <c:v>8.0050000000000008</c:v>
                </c:pt>
                <c:pt idx="5">
                  <c:v>6.9450000000000003</c:v>
                </c:pt>
                <c:pt idx="6">
                  <c:v>5.4779999999999998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78-4C8B-8B7D-94ACF4D67201}"/>
            </c:ext>
          </c:extLst>
        </c:ser>
        <c:ser>
          <c:idx val="2"/>
          <c:order val="2"/>
          <c:tx>
            <c:v>Pulse 3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Dc</c:v>
              </c:pt>
              <c:pt idx="1">
                <c:v>Dnc1</c:v>
              </c:pt>
              <c:pt idx="2">
                <c:v>Dnc2</c:v>
              </c:pt>
              <c:pt idx="3">
                <c:v>Dnc3</c:v>
              </c:pt>
              <c:pt idx="4">
                <c:v>Dnc4</c:v>
              </c:pt>
              <c:pt idx="5">
                <c:v>Dnc5</c:v>
              </c:pt>
              <c:pt idx="6">
                <c:v>Dnc6</c:v>
              </c:pt>
            </c:strLit>
          </c:cat>
          <c:val>
            <c:numRef>
              <c:f>(Sheet1!$W$8,Sheet1!$W$11,Sheet1!$W$14,Sheet1!$W$17,Sheet1!$W$20,Sheet1!$W$23,Sheet1!$W$26)</c:f>
              <c:numCache>
                <c:formatCode>0.000</c:formatCode>
                <c:ptCount val="7"/>
                <c:pt idx="0">
                  <c:v>2.7109999999999999</c:v>
                </c:pt>
                <c:pt idx="1">
                  <c:v>3.5640000000000001</c:v>
                </c:pt>
                <c:pt idx="2">
                  <c:v>6.5289999999999999</c:v>
                </c:pt>
                <c:pt idx="3">
                  <c:v>9.3710000000000004</c:v>
                </c:pt>
                <c:pt idx="4">
                  <c:v>8.516</c:v>
                </c:pt>
                <c:pt idx="5">
                  <c:v>5.8029999999999999</c:v>
                </c:pt>
                <c:pt idx="6">
                  <c:v>6.3840000000000003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78-4C8B-8B7D-94ACF4D67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42256"/>
        <c:axId val="1101135536"/>
      </c:barChart>
      <c:catAx>
        <c:axId val="110114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Electrode Design Number</a:t>
                </a:r>
              </a:p>
            </c:rich>
          </c:tx>
          <c:layout>
            <c:manualLayout>
              <c:xMode val="edge"/>
              <c:yMode val="edge"/>
              <c:x val="0.4265338692862588"/>
              <c:y val="0.86174186608671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135536"/>
        <c:crosses val="autoZero"/>
        <c:auto val="1"/>
        <c:lblAlgn val="ctr"/>
        <c:lblOffset val="100"/>
        <c:noMultiLvlLbl val="0"/>
      </c:catAx>
      <c:valAx>
        <c:axId val="1101135536"/>
        <c:scaling>
          <c:orientation val="minMax"/>
          <c:max val="9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Surface Roughness Sa (µm)</a:t>
                </a:r>
              </a:p>
            </c:rich>
          </c:tx>
          <c:layout>
            <c:manualLayout>
              <c:xMode val="edge"/>
              <c:yMode val="edge"/>
              <c:x val="1.4655099330262525E-2"/>
              <c:y val="0.297680577308131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142256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Design Weight Comparison</a:t>
            </a:r>
            <a:r>
              <a:rPr lang="en-US" b="1" baseline="0"/>
              <a:t> of Different Electrodes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Weight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7"/>
              <c:pt idx="0">
                <c:v>Dc</c:v>
              </c:pt>
              <c:pt idx="1">
                <c:v>Dnc1</c:v>
              </c:pt>
              <c:pt idx="2">
                <c:v>Dnc2</c:v>
              </c:pt>
              <c:pt idx="3">
                <c:v>Dnc3</c:v>
              </c:pt>
              <c:pt idx="4">
                <c:v>Dnc4</c:v>
              </c:pt>
              <c:pt idx="5">
                <c:v>Dnc5</c:v>
              </c:pt>
              <c:pt idx="6">
                <c:v>Dnc6</c:v>
              </c:pt>
            </c:strLit>
          </c:cat>
          <c:val>
            <c:numRef>
              <c:f>Sheet1!$H$153:$H$159</c:f>
              <c:numCache>
                <c:formatCode>General</c:formatCode>
                <c:ptCount val="7"/>
                <c:pt idx="0">
                  <c:v>20.97</c:v>
                </c:pt>
                <c:pt idx="1">
                  <c:v>18.66</c:v>
                </c:pt>
                <c:pt idx="2">
                  <c:v>19.829999999999998</c:v>
                </c:pt>
                <c:pt idx="3">
                  <c:v>20.55</c:v>
                </c:pt>
                <c:pt idx="4">
                  <c:v>12.58</c:v>
                </c:pt>
                <c:pt idx="5">
                  <c:v>17.05</c:v>
                </c:pt>
                <c:pt idx="6">
                  <c:v>19.47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5D-4550-A001-A627F51CC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057792"/>
        <c:axId val="152058272"/>
      </c:lineChart>
      <c:catAx>
        <c:axId val="152057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Electrode Design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58272"/>
        <c:crosses val="autoZero"/>
        <c:auto val="1"/>
        <c:lblAlgn val="ctr"/>
        <c:lblOffset val="100"/>
        <c:noMultiLvlLbl val="0"/>
      </c:catAx>
      <c:valAx>
        <c:axId val="152058272"/>
        <c:scaling>
          <c:orientation val="minMax"/>
          <c:max val="24"/>
          <c:min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Design Weight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57792"/>
        <c:crosses val="autoZero"/>
        <c:crossBetween val="between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190499</xdr:colOff>
      <xdr:row>35</xdr:row>
      <xdr:rowOff>168094</xdr:rowOff>
    </xdr:from>
    <xdr:to>
      <xdr:col>10</xdr:col>
      <xdr:colOff>392206</xdr:colOff>
      <xdr:row>58</xdr:row>
      <xdr:rowOff>11206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7794F5-867F-8E8A-FF47-6748BC5E7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89648</xdr:colOff>
      <xdr:row>35</xdr:row>
      <xdr:rowOff>67236</xdr:rowOff>
    </xdr:from>
    <xdr:to>
      <xdr:col>22</xdr:col>
      <xdr:colOff>470649</xdr:colOff>
      <xdr:row>57</xdr:row>
      <xdr:rowOff>100848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C4CB4D-AAF6-4542-AC75-40AF2865D6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145678</xdr:colOff>
      <xdr:row>60</xdr:row>
      <xdr:rowOff>33618</xdr:rowOff>
    </xdr:from>
    <xdr:to>
      <xdr:col>10</xdr:col>
      <xdr:colOff>347385</xdr:colOff>
      <xdr:row>84</xdr:row>
      <xdr:rowOff>56024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B64B15-3247-482A-A81A-9DAB1669C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78441</xdr:colOff>
      <xdr:row>60</xdr:row>
      <xdr:rowOff>0</xdr:rowOff>
    </xdr:from>
    <xdr:to>
      <xdr:col>22</xdr:col>
      <xdr:colOff>459442</xdr:colOff>
      <xdr:row>84</xdr:row>
      <xdr:rowOff>22406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FBF31AF-312C-47BC-9297-3242E0167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201706</xdr:colOff>
      <xdr:row>89</xdr:row>
      <xdr:rowOff>134470</xdr:rowOff>
    </xdr:from>
    <xdr:to>
      <xdr:col>9</xdr:col>
      <xdr:colOff>773207</xdr:colOff>
      <xdr:row>113</xdr:row>
      <xdr:rowOff>156876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A7EAA16-E8E9-4161-96E1-D93596E04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302559</xdr:colOff>
      <xdr:row>89</xdr:row>
      <xdr:rowOff>156882</xdr:rowOff>
    </xdr:from>
    <xdr:to>
      <xdr:col>22</xdr:col>
      <xdr:colOff>145678</xdr:colOff>
      <xdr:row>113</xdr:row>
      <xdr:rowOff>179288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BDA2E0A-FAA9-42EB-BEDD-B68C1CEA3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179294</xdr:colOff>
      <xdr:row>115</xdr:row>
      <xdr:rowOff>134471</xdr:rowOff>
    </xdr:from>
    <xdr:to>
      <xdr:col>9</xdr:col>
      <xdr:colOff>750795</xdr:colOff>
      <xdr:row>139</xdr:row>
      <xdr:rowOff>156877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4C6E119-11E4-42CC-8D11-E964BF16E0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515471</xdr:colOff>
      <xdr:row>148</xdr:row>
      <xdr:rowOff>73959</xdr:rowOff>
    </xdr:from>
    <xdr:to>
      <xdr:col>17</xdr:col>
      <xdr:colOff>313765</xdr:colOff>
      <xdr:row>162</xdr:row>
      <xdr:rowOff>82924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5D3D86-9863-7021-3856-04D759A00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X159"/>
  <sheetViews>
    <sheetView tabSelected="1" view="pageLayout" topLeftCell="A134" zoomScale="85" zoomScaleNormal="100" zoomScalePageLayoutView="85" workbookViewId="0">
      <selection activeCell="I162" sqref="I162"/>
    </sheetView>
  </sheetViews>
  <sheetFormatPr defaultRowHeight="15" x14ac:dyDescent="0.25"/>
  <cols>
    <col min="1" max="1" width="6.5703125" style="1" customWidth="1"/>
    <col min="2" max="2" width="12.28515625" style="1" customWidth="1"/>
    <col min="3" max="7" width="9.140625" style="1"/>
    <col min="8" max="8" width="10.42578125" style="1" customWidth="1"/>
    <col min="9" max="9" width="9.85546875" style="1" customWidth="1"/>
    <col min="10" max="10" width="11.7109375" style="1" customWidth="1"/>
    <col min="11" max="11" width="11.28515625" style="1" customWidth="1"/>
    <col min="12" max="12" width="7.42578125" style="1" customWidth="1"/>
    <col min="13" max="13" width="7" style="1" customWidth="1"/>
    <col min="14" max="15" width="7.5703125" style="1" customWidth="1"/>
    <col min="16" max="17" width="7" style="1" customWidth="1"/>
    <col min="18" max="18" width="11.85546875" style="1" customWidth="1"/>
    <col min="19" max="19" width="10.28515625" style="1" customWidth="1"/>
    <col min="20" max="20" width="10.140625" style="1" customWidth="1"/>
    <col min="21" max="21" width="10.28515625" style="1" customWidth="1"/>
    <col min="22" max="16384" width="9.140625" style="1"/>
  </cols>
  <sheetData>
    <row r="3" spans="1:24" ht="57" customHeight="1" x14ac:dyDescent="0.25">
      <c r="A3" s="11" t="s">
        <v>0</v>
      </c>
      <c r="B3" s="11" t="s">
        <v>12</v>
      </c>
      <c r="C3" s="11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13</v>
      </c>
      <c r="I3" s="11" t="s">
        <v>14</v>
      </c>
      <c r="J3" s="11" t="s">
        <v>15</v>
      </c>
      <c r="K3" s="11" t="s">
        <v>16</v>
      </c>
      <c r="L3" s="11" t="s">
        <v>17</v>
      </c>
      <c r="M3" s="11"/>
      <c r="N3" s="11" t="s">
        <v>20</v>
      </c>
      <c r="O3" s="11"/>
      <c r="P3" s="11" t="s">
        <v>21</v>
      </c>
      <c r="Q3" s="11"/>
      <c r="R3" s="11" t="s">
        <v>22</v>
      </c>
      <c r="S3" s="11" t="s">
        <v>23</v>
      </c>
      <c r="T3" s="11" t="s">
        <v>24</v>
      </c>
      <c r="U3" s="11" t="s">
        <v>25</v>
      </c>
      <c r="V3" s="11"/>
      <c r="W3" s="11"/>
      <c r="X3" s="11" t="s">
        <v>28</v>
      </c>
    </row>
    <row r="4" spans="1:24" ht="45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2" t="s">
        <v>18</v>
      </c>
      <c r="M4" s="2" t="s">
        <v>19</v>
      </c>
      <c r="N4" s="2" t="s">
        <v>18</v>
      </c>
      <c r="O4" s="2" t="s">
        <v>19</v>
      </c>
      <c r="P4" s="2" t="s">
        <v>18</v>
      </c>
      <c r="Q4" s="2" t="s">
        <v>19</v>
      </c>
      <c r="R4" s="11"/>
      <c r="S4" s="11"/>
      <c r="T4" s="11"/>
      <c r="U4" s="2" t="s">
        <v>38</v>
      </c>
      <c r="V4" s="2" t="s">
        <v>26</v>
      </c>
      <c r="W4" s="2" t="s">
        <v>27</v>
      </c>
      <c r="X4" s="11"/>
    </row>
    <row r="5" spans="1:24" x14ac:dyDescent="0.25">
      <c r="A5" s="11"/>
      <c r="B5" s="11"/>
      <c r="C5" s="2" t="s">
        <v>29</v>
      </c>
      <c r="D5" s="2" t="s">
        <v>30</v>
      </c>
      <c r="E5" s="3" t="s">
        <v>31</v>
      </c>
      <c r="F5" s="3" t="s">
        <v>31</v>
      </c>
      <c r="G5" s="2" t="s">
        <v>34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34</v>
      </c>
      <c r="M5" s="2" t="s">
        <v>34</v>
      </c>
      <c r="N5" s="2" t="s">
        <v>34</v>
      </c>
      <c r="O5" s="2" t="s">
        <v>34</v>
      </c>
      <c r="P5" s="2" t="s">
        <v>34</v>
      </c>
      <c r="Q5" s="2" t="s">
        <v>34</v>
      </c>
      <c r="R5" s="2" t="s">
        <v>35</v>
      </c>
      <c r="S5" s="2" t="s">
        <v>36</v>
      </c>
      <c r="T5" s="2" t="s">
        <v>36</v>
      </c>
      <c r="U5" s="2" t="s">
        <v>37</v>
      </c>
      <c r="V5" s="2" t="s">
        <v>37</v>
      </c>
      <c r="W5" s="2" t="s">
        <v>37</v>
      </c>
      <c r="X5" s="2" t="s">
        <v>32</v>
      </c>
    </row>
    <row r="6" spans="1:24" ht="25.35" customHeight="1" x14ac:dyDescent="0.25">
      <c r="A6" s="2">
        <v>1</v>
      </c>
      <c r="B6" s="10" t="s">
        <v>42</v>
      </c>
      <c r="C6" s="2">
        <v>3</v>
      </c>
      <c r="D6" s="2">
        <v>80</v>
      </c>
      <c r="E6" s="2">
        <v>50</v>
      </c>
      <c r="F6" s="2">
        <v>20</v>
      </c>
      <c r="G6" s="2">
        <v>5</v>
      </c>
      <c r="H6" s="4">
        <v>19.6159</v>
      </c>
      <c r="I6" s="4">
        <v>19.6007</v>
      </c>
      <c r="J6" s="4">
        <v>13.950900000000001</v>
      </c>
      <c r="K6" s="4">
        <v>11.578900000000001</v>
      </c>
      <c r="L6" s="5">
        <v>10.02</v>
      </c>
      <c r="M6" s="5">
        <v>27.98</v>
      </c>
      <c r="N6" s="5">
        <v>10.02</v>
      </c>
      <c r="O6" s="5">
        <v>27.82</v>
      </c>
      <c r="P6" s="5">
        <v>10.28</v>
      </c>
      <c r="Q6" s="5">
        <v>9.9600000000000009</v>
      </c>
      <c r="R6" s="5">
        <v>133.53</v>
      </c>
      <c r="S6" s="6">
        <f>((J6-K6)/0.00284)/R6</f>
        <v>6.2548585906210876</v>
      </c>
      <c r="T6" s="6">
        <f>((H6-I6)/0.00896)/R6</f>
        <v>1.2704475184816768E-2</v>
      </c>
      <c r="U6" s="6">
        <v>2.4359999999999999</v>
      </c>
      <c r="V6" s="6">
        <v>1.764</v>
      </c>
      <c r="W6" s="6">
        <v>2.9870000000000001</v>
      </c>
      <c r="X6" s="5">
        <f>(P6-L6)/2</f>
        <v>0.12999999999999989</v>
      </c>
    </row>
    <row r="7" spans="1:24" ht="25.35" customHeight="1" x14ac:dyDescent="0.25">
      <c r="A7" s="2">
        <v>2</v>
      </c>
      <c r="B7" s="10"/>
      <c r="C7" s="2">
        <v>5</v>
      </c>
      <c r="D7" s="2">
        <v>80</v>
      </c>
      <c r="E7" s="2">
        <v>50</v>
      </c>
      <c r="F7" s="2">
        <v>20</v>
      </c>
      <c r="G7" s="2">
        <v>5</v>
      </c>
      <c r="H7" s="4">
        <v>21.040700000000001</v>
      </c>
      <c r="I7" s="4">
        <v>21.012</v>
      </c>
      <c r="J7" s="4">
        <v>13.971399999999999</v>
      </c>
      <c r="K7" s="4">
        <v>11.562200000000001</v>
      </c>
      <c r="L7" s="5">
        <v>10.02</v>
      </c>
      <c r="M7" s="5">
        <v>30.15</v>
      </c>
      <c r="N7" s="5">
        <v>10.02</v>
      </c>
      <c r="O7" s="5">
        <v>30.1</v>
      </c>
      <c r="P7" s="5">
        <v>10.35</v>
      </c>
      <c r="Q7" s="5">
        <v>10.050000000000001</v>
      </c>
      <c r="R7" s="5">
        <v>65.08</v>
      </c>
      <c r="S7" s="6">
        <f t="shared" ref="S7:S26" si="0">((J7-K7)/0.00284)/R7</f>
        <v>13.034877983327121</v>
      </c>
      <c r="T7" s="6">
        <f t="shared" ref="T7:T26" si="1">((H7-I7)/0.00896)/R7</f>
        <v>4.9218269821758892E-2</v>
      </c>
      <c r="U7" s="6">
        <v>3.1920000000000002</v>
      </c>
      <c r="V7" s="6">
        <v>5.57</v>
      </c>
      <c r="W7" s="6">
        <v>5.8559999999999999</v>
      </c>
      <c r="X7" s="5">
        <f t="shared" ref="X7:X26" si="2">(P7-L7)/2</f>
        <v>0.16500000000000004</v>
      </c>
    </row>
    <row r="8" spans="1:24" ht="25.35" customHeight="1" x14ac:dyDescent="0.25">
      <c r="A8" s="2">
        <v>3</v>
      </c>
      <c r="B8" s="10"/>
      <c r="C8" s="2">
        <v>7</v>
      </c>
      <c r="D8" s="2">
        <v>80</v>
      </c>
      <c r="E8" s="2">
        <v>50</v>
      </c>
      <c r="F8" s="2">
        <v>20</v>
      </c>
      <c r="G8" s="2">
        <v>5</v>
      </c>
      <c r="H8" s="4">
        <v>21.045200000000001</v>
      </c>
      <c r="I8" s="4">
        <v>20.995799999999999</v>
      </c>
      <c r="J8" s="4">
        <v>13.818</v>
      </c>
      <c r="K8" s="4">
        <v>11.3802</v>
      </c>
      <c r="L8" s="5">
        <v>10.02</v>
      </c>
      <c r="M8" s="5">
        <v>30.01</v>
      </c>
      <c r="N8" s="5">
        <v>10.02</v>
      </c>
      <c r="O8" s="5">
        <v>30.01</v>
      </c>
      <c r="P8" s="5">
        <v>10.4</v>
      </c>
      <c r="Q8" s="5">
        <v>10</v>
      </c>
      <c r="R8" s="5">
        <v>39.56</v>
      </c>
      <c r="S8" s="6">
        <f t="shared" si="0"/>
        <v>21.698187100357444</v>
      </c>
      <c r="T8" s="6">
        <f t="shared" si="1"/>
        <v>0.13936786797631681</v>
      </c>
      <c r="U8" s="6">
        <v>3.2650000000000001</v>
      </c>
      <c r="V8" s="6">
        <v>3.1320000000000001</v>
      </c>
      <c r="W8" s="6">
        <v>2.7109999999999999</v>
      </c>
      <c r="X8" s="5">
        <f t="shared" si="2"/>
        <v>0.19000000000000039</v>
      </c>
    </row>
    <row r="9" spans="1:24" ht="25.35" customHeight="1" x14ac:dyDescent="0.25">
      <c r="A9" s="2">
        <v>4</v>
      </c>
      <c r="B9" s="10" t="s">
        <v>6</v>
      </c>
      <c r="C9" s="2">
        <v>3</v>
      </c>
      <c r="D9" s="2">
        <v>80</v>
      </c>
      <c r="E9" s="2">
        <v>50</v>
      </c>
      <c r="F9" s="2">
        <v>20</v>
      </c>
      <c r="G9" s="2">
        <v>5</v>
      </c>
      <c r="H9" s="4">
        <v>18.0947</v>
      </c>
      <c r="I9" s="4">
        <v>18.078900000000001</v>
      </c>
      <c r="J9" s="4">
        <v>13.9069</v>
      </c>
      <c r="K9" s="4">
        <v>11.547000000000001</v>
      </c>
      <c r="L9" s="5">
        <v>9.99</v>
      </c>
      <c r="M9" s="5">
        <v>29.58</v>
      </c>
      <c r="N9" s="5">
        <v>9.99</v>
      </c>
      <c r="O9" s="5">
        <v>29.55</v>
      </c>
      <c r="P9" s="5">
        <v>10.25</v>
      </c>
      <c r="Q9" s="5">
        <v>10.07</v>
      </c>
      <c r="R9" s="5">
        <v>90.6</v>
      </c>
      <c r="S9" s="6">
        <f t="shared" si="0"/>
        <v>9.1716413269906401</v>
      </c>
      <c r="T9" s="6">
        <f t="shared" si="1"/>
        <v>1.9463497319455989E-2</v>
      </c>
      <c r="U9" s="6">
        <v>2.2450000000000001</v>
      </c>
      <c r="V9" s="6">
        <v>1.6930000000000001</v>
      </c>
      <c r="W9" s="6">
        <v>2.7909999999999999</v>
      </c>
      <c r="X9" s="5">
        <f t="shared" si="2"/>
        <v>0.12999999999999989</v>
      </c>
    </row>
    <row r="10" spans="1:24" ht="25.35" customHeight="1" x14ac:dyDescent="0.25">
      <c r="A10" s="2">
        <v>5</v>
      </c>
      <c r="B10" s="10"/>
      <c r="C10" s="2">
        <v>5</v>
      </c>
      <c r="D10" s="2">
        <v>80</v>
      </c>
      <c r="E10" s="2">
        <v>50</v>
      </c>
      <c r="F10" s="2">
        <v>20</v>
      </c>
      <c r="G10" s="2">
        <v>5</v>
      </c>
      <c r="H10" s="4">
        <v>18.078900000000001</v>
      </c>
      <c r="I10" s="4">
        <v>18.043199999999999</v>
      </c>
      <c r="J10" s="4">
        <v>14.0097</v>
      </c>
      <c r="K10" s="4">
        <v>11.6341</v>
      </c>
      <c r="L10" s="5">
        <v>9.99</v>
      </c>
      <c r="M10" s="5">
        <v>29.55</v>
      </c>
      <c r="N10" s="5">
        <v>9.99</v>
      </c>
      <c r="O10" s="5">
        <v>29.52</v>
      </c>
      <c r="P10" s="5">
        <v>10.3</v>
      </c>
      <c r="Q10" s="5">
        <v>10.050000000000001</v>
      </c>
      <c r="R10" s="5">
        <v>24.66</v>
      </c>
      <c r="S10" s="6">
        <f t="shared" si="0"/>
        <v>33.920473367373752</v>
      </c>
      <c r="T10" s="6">
        <f t="shared" si="1"/>
        <v>0.16157238442823318</v>
      </c>
      <c r="U10" s="6">
        <v>3.1120000000000001</v>
      </c>
      <c r="V10" s="6">
        <v>5.2629999999999999</v>
      </c>
      <c r="W10" s="6">
        <v>5.6749999999999998</v>
      </c>
      <c r="X10" s="5">
        <f t="shared" si="2"/>
        <v>0.15500000000000025</v>
      </c>
    </row>
    <row r="11" spans="1:24" ht="25.35" customHeight="1" x14ac:dyDescent="0.25">
      <c r="A11" s="2">
        <v>6</v>
      </c>
      <c r="B11" s="10"/>
      <c r="C11" s="2">
        <v>7</v>
      </c>
      <c r="D11" s="2">
        <v>80</v>
      </c>
      <c r="E11" s="2">
        <v>50</v>
      </c>
      <c r="F11" s="2">
        <v>20</v>
      </c>
      <c r="G11" s="2">
        <v>5</v>
      </c>
      <c r="H11" s="4">
        <v>18.043199999999999</v>
      </c>
      <c r="I11" s="4">
        <v>17.985099999999999</v>
      </c>
      <c r="J11" s="4">
        <v>13.8462</v>
      </c>
      <c r="K11" s="4">
        <v>11.449199999999999</v>
      </c>
      <c r="L11" s="5">
        <v>9.99</v>
      </c>
      <c r="M11" s="5">
        <v>29.52</v>
      </c>
      <c r="N11" s="5">
        <v>9.99</v>
      </c>
      <c r="O11" s="5">
        <v>29.48</v>
      </c>
      <c r="P11" s="5">
        <v>10.36</v>
      </c>
      <c r="Q11" s="5">
        <v>10</v>
      </c>
      <c r="R11" s="5">
        <v>24.95</v>
      </c>
      <c r="S11" s="6">
        <f t="shared" si="0"/>
        <v>33.828219819921536</v>
      </c>
      <c r="T11" s="6">
        <f t="shared" si="1"/>
        <v>0.25989478957915657</v>
      </c>
      <c r="U11" s="6">
        <v>4.5439999999999996</v>
      </c>
      <c r="V11" s="6">
        <v>4.2969999999999997</v>
      </c>
      <c r="W11" s="6">
        <v>3.5640000000000001</v>
      </c>
      <c r="X11" s="5">
        <f t="shared" si="2"/>
        <v>0.18499999999999961</v>
      </c>
    </row>
    <row r="12" spans="1:24" ht="25.35" customHeight="1" x14ac:dyDescent="0.25">
      <c r="A12" s="2">
        <v>7</v>
      </c>
      <c r="B12" s="10" t="s">
        <v>7</v>
      </c>
      <c r="C12" s="2">
        <v>3</v>
      </c>
      <c r="D12" s="2">
        <v>80</v>
      </c>
      <c r="E12" s="2">
        <v>50</v>
      </c>
      <c r="F12" s="2">
        <v>20</v>
      </c>
      <c r="G12" s="2">
        <v>5</v>
      </c>
      <c r="H12" s="4">
        <v>19.767499999999998</v>
      </c>
      <c r="I12" s="4">
        <v>19.752700000000001</v>
      </c>
      <c r="J12" s="4">
        <v>13.4915</v>
      </c>
      <c r="K12" s="4">
        <v>11.110200000000001</v>
      </c>
      <c r="L12" s="5">
        <v>10</v>
      </c>
      <c r="M12" s="5">
        <v>30.05</v>
      </c>
      <c r="N12" s="5">
        <v>10</v>
      </c>
      <c r="O12" s="5">
        <v>30.03</v>
      </c>
      <c r="P12" s="5">
        <v>10.29</v>
      </c>
      <c r="Q12" s="5">
        <v>10.039999999999999</v>
      </c>
      <c r="R12" s="5">
        <v>114.55</v>
      </c>
      <c r="S12" s="6">
        <f t="shared" si="0"/>
        <v>7.3198246660232007</v>
      </c>
      <c r="T12" s="6">
        <f t="shared" si="1"/>
        <v>1.4419779260457732E-2</v>
      </c>
      <c r="U12" s="6">
        <v>2.2679999999999998</v>
      </c>
      <c r="V12" s="6">
        <v>2.4020000000000001</v>
      </c>
      <c r="W12" s="6">
        <v>3.0830000000000002</v>
      </c>
      <c r="X12" s="5">
        <f t="shared" si="2"/>
        <v>0.14499999999999957</v>
      </c>
    </row>
    <row r="13" spans="1:24" ht="25.35" customHeight="1" x14ac:dyDescent="0.25">
      <c r="A13" s="2">
        <v>8</v>
      </c>
      <c r="B13" s="10"/>
      <c r="C13" s="2">
        <v>5</v>
      </c>
      <c r="D13" s="2">
        <v>80</v>
      </c>
      <c r="E13" s="2">
        <v>50</v>
      </c>
      <c r="F13" s="2">
        <v>20</v>
      </c>
      <c r="G13" s="2">
        <v>5</v>
      </c>
      <c r="H13" s="4">
        <v>19.752700000000001</v>
      </c>
      <c r="I13" s="4">
        <v>19.724</v>
      </c>
      <c r="J13" s="4">
        <v>13.446999999999999</v>
      </c>
      <c r="K13" s="4">
        <v>11.508699999999999</v>
      </c>
      <c r="L13" s="5">
        <v>10</v>
      </c>
      <c r="M13" s="5">
        <v>30.03</v>
      </c>
      <c r="N13" s="5">
        <v>10</v>
      </c>
      <c r="O13" s="5">
        <v>29.98</v>
      </c>
      <c r="P13" s="5">
        <v>10.39</v>
      </c>
      <c r="Q13" s="5">
        <v>8.11</v>
      </c>
      <c r="R13" s="5">
        <v>38.01</v>
      </c>
      <c r="S13" s="6">
        <f t="shared" si="0"/>
        <v>17.955801104972377</v>
      </c>
      <c r="T13" s="6">
        <f t="shared" si="1"/>
        <v>8.4270586687715573E-2</v>
      </c>
      <c r="U13" s="6">
        <v>2.0640000000000001</v>
      </c>
      <c r="V13" s="6">
        <v>2.6019999999999999</v>
      </c>
      <c r="W13" s="6">
        <v>4.0869999999999997</v>
      </c>
      <c r="X13" s="5">
        <f t="shared" si="2"/>
        <v>0.19500000000000028</v>
      </c>
    </row>
    <row r="14" spans="1:24" ht="25.35" customHeight="1" x14ac:dyDescent="0.25">
      <c r="A14" s="2">
        <v>9</v>
      </c>
      <c r="B14" s="10"/>
      <c r="C14" s="2">
        <v>7</v>
      </c>
      <c r="D14" s="2">
        <v>80</v>
      </c>
      <c r="E14" s="2">
        <v>50</v>
      </c>
      <c r="F14" s="2">
        <v>20</v>
      </c>
      <c r="G14" s="2">
        <v>5</v>
      </c>
      <c r="H14" s="4">
        <v>19.724</v>
      </c>
      <c r="I14" s="4">
        <v>19.664899999999999</v>
      </c>
      <c r="J14" s="4">
        <v>13.5571</v>
      </c>
      <c r="K14" s="4">
        <v>11.1181</v>
      </c>
      <c r="L14" s="5">
        <v>10</v>
      </c>
      <c r="M14" s="5">
        <v>29.98</v>
      </c>
      <c r="N14" s="5">
        <v>10</v>
      </c>
      <c r="O14" s="5">
        <v>29.97</v>
      </c>
      <c r="P14" s="5">
        <v>10.43</v>
      </c>
      <c r="Q14" s="5">
        <v>10.029999999999999</v>
      </c>
      <c r="R14" s="5">
        <v>33.68</v>
      </c>
      <c r="S14" s="6">
        <f t="shared" si="0"/>
        <v>25.498895988759156</v>
      </c>
      <c r="T14" s="6">
        <f t="shared" si="1"/>
        <v>0.19584270020359962</v>
      </c>
      <c r="U14" s="6">
        <v>3.968</v>
      </c>
      <c r="V14" s="6">
        <v>6.141</v>
      </c>
      <c r="W14" s="6">
        <v>6.5289999999999999</v>
      </c>
      <c r="X14" s="5">
        <f t="shared" si="2"/>
        <v>0.21499999999999986</v>
      </c>
    </row>
    <row r="15" spans="1:24" ht="25.35" customHeight="1" x14ac:dyDescent="0.25">
      <c r="A15" s="2">
        <v>10</v>
      </c>
      <c r="B15" s="10" t="s">
        <v>8</v>
      </c>
      <c r="C15" s="2">
        <v>3</v>
      </c>
      <c r="D15" s="2">
        <v>80</v>
      </c>
      <c r="E15" s="2">
        <v>50</v>
      </c>
      <c r="F15" s="2">
        <v>20</v>
      </c>
      <c r="G15" s="2">
        <v>5</v>
      </c>
      <c r="H15" s="4">
        <v>20.658899999999999</v>
      </c>
      <c r="I15" s="4">
        <v>20.644400000000001</v>
      </c>
      <c r="J15" s="4">
        <v>13.584199999999999</v>
      </c>
      <c r="K15" s="4">
        <v>11.1998</v>
      </c>
      <c r="L15" s="5">
        <v>10.01</v>
      </c>
      <c r="M15" s="5">
        <v>30.09</v>
      </c>
      <c r="N15" s="5">
        <v>10.01</v>
      </c>
      <c r="O15" s="5">
        <v>30.08</v>
      </c>
      <c r="P15" s="5">
        <v>10.27</v>
      </c>
      <c r="Q15" s="5">
        <v>10.039999999999999</v>
      </c>
      <c r="R15" s="5">
        <v>135.65</v>
      </c>
      <c r="S15" s="6">
        <f t="shared" si="0"/>
        <v>6.1892920367764992</v>
      </c>
      <c r="T15" s="6">
        <f t="shared" si="1"/>
        <v>1.1929993154650707E-2</v>
      </c>
      <c r="U15" s="6">
        <v>2.6259999999999999</v>
      </c>
      <c r="V15" s="6">
        <v>1.976</v>
      </c>
      <c r="W15" s="6">
        <v>3.04</v>
      </c>
      <c r="X15" s="5">
        <f t="shared" si="2"/>
        <v>0.12999999999999989</v>
      </c>
    </row>
    <row r="16" spans="1:24" ht="25.35" customHeight="1" x14ac:dyDescent="0.25">
      <c r="A16" s="2">
        <v>11</v>
      </c>
      <c r="B16" s="10"/>
      <c r="C16" s="2">
        <v>5</v>
      </c>
      <c r="D16" s="2">
        <v>80</v>
      </c>
      <c r="E16" s="2">
        <v>50</v>
      </c>
      <c r="F16" s="2">
        <v>20</v>
      </c>
      <c r="G16" s="2">
        <v>5</v>
      </c>
      <c r="H16" s="4">
        <v>20.644400000000001</v>
      </c>
      <c r="I16" s="4">
        <v>20.607900000000001</v>
      </c>
      <c r="J16" s="4">
        <v>13.497999999999999</v>
      </c>
      <c r="K16" s="4">
        <v>11.074400000000001</v>
      </c>
      <c r="L16" s="5">
        <v>10.01</v>
      </c>
      <c r="M16" s="5">
        <v>30.08</v>
      </c>
      <c r="N16" s="5">
        <v>10.01</v>
      </c>
      <c r="O16" s="5">
        <v>30.06</v>
      </c>
      <c r="P16" s="5">
        <v>10.35</v>
      </c>
      <c r="Q16" s="5">
        <v>10.029999999999999</v>
      </c>
      <c r="R16" s="5">
        <v>60.33</v>
      </c>
      <c r="S16" s="6">
        <f t="shared" si="0"/>
        <v>14.145206061497436</v>
      </c>
      <c r="T16" s="6">
        <f t="shared" si="1"/>
        <v>6.7522968909095593E-2</v>
      </c>
      <c r="U16" s="6">
        <v>3.169</v>
      </c>
      <c r="V16" s="6">
        <v>2.5499999999999998</v>
      </c>
      <c r="W16" s="6">
        <v>5.2549999999999999</v>
      </c>
      <c r="X16" s="5">
        <f t="shared" si="2"/>
        <v>0.16999999999999993</v>
      </c>
    </row>
    <row r="17" spans="1:24" ht="25.35" customHeight="1" x14ac:dyDescent="0.25">
      <c r="A17" s="2">
        <v>12</v>
      </c>
      <c r="B17" s="10"/>
      <c r="C17" s="2">
        <v>7</v>
      </c>
      <c r="D17" s="2">
        <v>80</v>
      </c>
      <c r="E17" s="2">
        <v>50</v>
      </c>
      <c r="F17" s="2">
        <v>20</v>
      </c>
      <c r="G17" s="2">
        <v>5</v>
      </c>
      <c r="H17" s="4">
        <v>20.607900000000001</v>
      </c>
      <c r="I17" s="4">
        <v>20.5534</v>
      </c>
      <c r="J17" s="4">
        <v>13.457599999999999</v>
      </c>
      <c r="K17" s="4">
        <v>11.019299999999999</v>
      </c>
      <c r="L17" s="5">
        <v>10.01</v>
      </c>
      <c r="M17" s="5">
        <v>30.06</v>
      </c>
      <c r="N17" s="5">
        <v>10.01</v>
      </c>
      <c r="O17" s="5">
        <v>30.08</v>
      </c>
      <c r="P17" s="5">
        <v>10.42</v>
      </c>
      <c r="Q17" s="5">
        <v>10.029999999999999</v>
      </c>
      <c r="R17" s="5">
        <v>41.33</v>
      </c>
      <c r="S17" s="6">
        <f t="shared" si="0"/>
        <v>20.773199565162571</v>
      </c>
      <c r="T17" s="6">
        <f t="shared" si="1"/>
        <v>0.14717128685493308</v>
      </c>
      <c r="U17" s="6">
        <v>3.45</v>
      </c>
      <c r="V17" s="6">
        <v>7.7880000000000003</v>
      </c>
      <c r="W17" s="6">
        <v>9.3710000000000004</v>
      </c>
      <c r="X17" s="5">
        <f t="shared" si="2"/>
        <v>0.20500000000000007</v>
      </c>
    </row>
    <row r="18" spans="1:24" ht="25.35" customHeight="1" x14ac:dyDescent="0.25">
      <c r="A18" s="2">
        <v>13</v>
      </c>
      <c r="B18" s="10" t="s">
        <v>9</v>
      </c>
      <c r="C18" s="2">
        <v>3</v>
      </c>
      <c r="D18" s="2">
        <v>80</v>
      </c>
      <c r="E18" s="2">
        <v>50</v>
      </c>
      <c r="F18" s="2">
        <v>20</v>
      </c>
      <c r="G18" s="2">
        <v>5</v>
      </c>
      <c r="H18" s="4">
        <v>12.644299999999999</v>
      </c>
      <c r="I18" s="4">
        <v>12.6266</v>
      </c>
      <c r="J18" s="4">
        <v>13.602399999999999</v>
      </c>
      <c r="K18" s="4">
        <v>11.2226</v>
      </c>
      <c r="L18" s="5">
        <v>10.01</v>
      </c>
      <c r="M18" s="5">
        <v>30.03</v>
      </c>
      <c r="N18" s="5">
        <v>10.01</v>
      </c>
      <c r="O18" s="5">
        <v>29.97</v>
      </c>
      <c r="P18" s="5">
        <v>10.28</v>
      </c>
      <c r="Q18" s="5">
        <v>10.029999999999999</v>
      </c>
      <c r="R18" s="5">
        <v>87.48</v>
      </c>
      <c r="S18" s="6">
        <f t="shared" si="0"/>
        <v>9.5788494110525022</v>
      </c>
      <c r="T18" s="6">
        <f t="shared" si="1"/>
        <v>2.2581692141876823E-2</v>
      </c>
      <c r="U18" s="6">
        <v>3.1539999999999999</v>
      </c>
      <c r="V18" s="6">
        <v>1.897</v>
      </c>
      <c r="W18" s="6">
        <v>2.464</v>
      </c>
      <c r="X18" s="5">
        <f t="shared" si="2"/>
        <v>0.13499999999999979</v>
      </c>
    </row>
    <row r="19" spans="1:24" ht="25.35" customHeight="1" x14ac:dyDescent="0.25">
      <c r="A19" s="2">
        <v>14</v>
      </c>
      <c r="B19" s="10"/>
      <c r="C19" s="2">
        <v>5</v>
      </c>
      <c r="D19" s="2">
        <v>80</v>
      </c>
      <c r="E19" s="2">
        <v>50</v>
      </c>
      <c r="F19" s="2">
        <v>20</v>
      </c>
      <c r="G19" s="2">
        <v>5</v>
      </c>
      <c r="H19" s="4">
        <v>12.6266</v>
      </c>
      <c r="I19" s="4">
        <v>12.591699999999999</v>
      </c>
      <c r="J19" s="4">
        <v>13.4634</v>
      </c>
      <c r="K19" s="4">
        <v>11.0611</v>
      </c>
      <c r="L19" s="5">
        <v>10.01</v>
      </c>
      <c r="M19" s="5">
        <v>29.97</v>
      </c>
      <c r="N19" s="5">
        <v>10.01</v>
      </c>
      <c r="O19" s="5">
        <v>29.95</v>
      </c>
      <c r="P19" s="5">
        <v>10.34</v>
      </c>
      <c r="Q19" s="5">
        <v>10.01</v>
      </c>
      <c r="R19" s="5">
        <v>35.630000000000003</v>
      </c>
      <c r="S19" s="6">
        <f t="shared" si="0"/>
        <v>23.740675882406425</v>
      </c>
      <c r="T19" s="6">
        <f t="shared" si="1"/>
        <v>0.10932049637143776</v>
      </c>
      <c r="U19" s="6">
        <v>3.6360000000000001</v>
      </c>
      <c r="V19" s="6">
        <v>3.907</v>
      </c>
      <c r="W19" s="6">
        <v>8.0050000000000008</v>
      </c>
      <c r="X19" s="5">
        <f t="shared" si="2"/>
        <v>0.16500000000000004</v>
      </c>
    </row>
    <row r="20" spans="1:24" ht="25.35" customHeight="1" x14ac:dyDescent="0.25">
      <c r="A20" s="2">
        <v>15</v>
      </c>
      <c r="B20" s="10"/>
      <c r="C20" s="2">
        <v>7</v>
      </c>
      <c r="D20" s="2">
        <v>80</v>
      </c>
      <c r="E20" s="2">
        <v>50</v>
      </c>
      <c r="F20" s="2">
        <v>20</v>
      </c>
      <c r="G20" s="2">
        <v>5</v>
      </c>
      <c r="H20" s="4">
        <v>12.591699999999999</v>
      </c>
      <c r="I20" s="4">
        <v>12.538600000000001</v>
      </c>
      <c r="J20" s="4">
        <v>13.559900000000001</v>
      </c>
      <c r="K20" s="4">
        <v>11.1568</v>
      </c>
      <c r="L20" s="5">
        <v>10.01</v>
      </c>
      <c r="M20" s="5">
        <v>29.95</v>
      </c>
      <c r="N20" s="5">
        <v>10.01</v>
      </c>
      <c r="O20" s="5">
        <v>29.93</v>
      </c>
      <c r="P20" s="5">
        <v>10.37</v>
      </c>
      <c r="Q20" s="5">
        <v>10.050000000000001</v>
      </c>
      <c r="R20" s="5">
        <v>23.03</v>
      </c>
      <c r="S20" s="6">
        <f t="shared" si="0"/>
        <v>36.741726957489618</v>
      </c>
      <c r="T20" s="6">
        <f t="shared" si="1"/>
        <v>0.25733127597543004</v>
      </c>
      <c r="U20" s="6">
        <v>4.476</v>
      </c>
      <c r="V20" s="6">
        <v>2.9420000000000002</v>
      </c>
      <c r="W20" s="6">
        <v>8.516</v>
      </c>
      <c r="X20" s="5">
        <f t="shared" si="2"/>
        <v>0.17999999999999972</v>
      </c>
    </row>
    <row r="21" spans="1:24" ht="25.35" customHeight="1" x14ac:dyDescent="0.25">
      <c r="A21" s="2">
        <v>16</v>
      </c>
      <c r="B21" s="10" t="s">
        <v>10</v>
      </c>
      <c r="C21" s="2">
        <v>3</v>
      </c>
      <c r="D21" s="2">
        <v>80</v>
      </c>
      <c r="E21" s="2">
        <v>50</v>
      </c>
      <c r="F21" s="2">
        <v>20</v>
      </c>
      <c r="G21" s="2">
        <v>5</v>
      </c>
      <c r="H21" s="4">
        <v>16.959599999999998</v>
      </c>
      <c r="I21" s="4">
        <v>16.945900000000002</v>
      </c>
      <c r="J21" s="4">
        <v>13.5959</v>
      </c>
      <c r="K21" s="4">
        <v>11.2437</v>
      </c>
      <c r="L21" s="5">
        <v>9.99</v>
      </c>
      <c r="M21" s="5">
        <v>30</v>
      </c>
      <c r="N21" s="5">
        <v>9.99</v>
      </c>
      <c r="O21" s="5">
        <v>29.96</v>
      </c>
      <c r="P21" s="5">
        <v>10.23</v>
      </c>
      <c r="Q21" s="5">
        <v>10</v>
      </c>
      <c r="R21" s="5">
        <v>119.65</v>
      </c>
      <c r="S21" s="6">
        <f t="shared" si="0"/>
        <v>6.9221850114477075</v>
      </c>
      <c r="T21" s="6">
        <f t="shared" si="1"/>
        <v>1.2779087815649525E-2</v>
      </c>
      <c r="U21" s="6">
        <v>2.39</v>
      </c>
      <c r="V21" s="6">
        <v>1.5760000000000001</v>
      </c>
      <c r="W21" s="6">
        <v>1.7589999999999999</v>
      </c>
      <c r="X21" s="5">
        <f t="shared" si="2"/>
        <v>0.12000000000000011</v>
      </c>
    </row>
    <row r="22" spans="1:24" ht="25.35" customHeight="1" x14ac:dyDescent="0.25">
      <c r="A22" s="2">
        <v>17</v>
      </c>
      <c r="B22" s="10"/>
      <c r="C22" s="2">
        <v>5</v>
      </c>
      <c r="D22" s="2">
        <v>80</v>
      </c>
      <c r="E22" s="2">
        <v>50</v>
      </c>
      <c r="F22" s="2">
        <v>20</v>
      </c>
      <c r="G22" s="2">
        <v>5</v>
      </c>
      <c r="H22" s="4">
        <v>16.945900000000002</v>
      </c>
      <c r="I22" s="4">
        <v>16.910499999999999</v>
      </c>
      <c r="J22" s="4">
        <v>14.0177</v>
      </c>
      <c r="K22" s="4">
        <v>11.621700000000001</v>
      </c>
      <c r="L22" s="5">
        <v>9.99</v>
      </c>
      <c r="M22" s="5">
        <v>29.96</v>
      </c>
      <c r="N22" s="5">
        <v>9.99</v>
      </c>
      <c r="O22" s="5">
        <v>29.94</v>
      </c>
      <c r="P22" s="5">
        <v>10.32</v>
      </c>
      <c r="Q22" s="5">
        <v>10.029999999999999</v>
      </c>
      <c r="R22" s="5">
        <v>40.049999999999997</v>
      </c>
      <c r="S22" s="6">
        <f t="shared" si="0"/>
        <v>21.065217773557691</v>
      </c>
      <c r="T22" s="6">
        <f t="shared" si="1"/>
        <v>9.8649010165871812E-2</v>
      </c>
      <c r="U22" s="6">
        <v>3.1070000000000002</v>
      </c>
      <c r="V22" s="6">
        <v>5.8940000000000001</v>
      </c>
      <c r="W22" s="6">
        <v>6.9450000000000003</v>
      </c>
      <c r="X22" s="5">
        <f t="shared" si="2"/>
        <v>0.16500000000000004</v>
      </c>
    </row>
    <row r="23" spans="1:24" ht="25.35" customHeight="1" x14ac:dyDescent="0.25">
      <c r="A23" s="2">
        <v>18</v>
      </c>
      <c r="B23" s="10"/>
      <c r="C23" s="2">
        <v>7</v>
      </c>
      <c r="D23" s="2">
        <v>80</v>
      </c>
      <c r="E23" s="2">
        <v>50</v>
      </c>
      <c r="F23" s="2">
        <v>20</v>
      </c>
      <c r="G23" s="2">
        <v>5</v>
      </c>
      <c r="H23" s="4">
        <v>16.910499999999999</v>
      </c>
      <c r="I23" s="4">
        <v>16.852399999999999</v>
      </c>
      <c r="J23" s="4">
        <v>14.126300000000001</v>
      </c>
      <c r="K23" s="4">
        <v>11.704599999999999</v>
      </c>
      <c r="L23" s="5">
        <v>9.99</v>
      </c>
      <c r="M23" s="5">
        <v>29.94</v>
      </c>
      <c r="N23" s="5">
        <v>9.99</v>
      </c>
      <c r="O23" s="5">
        <v>29.94</v>
      </c>
      <c r="P23" s="5">
        <v>10.38</v>
      </c>
      <c r="Q23" s="5">
        <v>10.039999999999999</v>
      </c>
      <c r="R23" s="5">
        <v>25.78</v>
      </c>
      <c r="S23" s="6">
        <f t="shared" si="0"/>
        <v>33.076464996339574</v>
      </c>
      <c r="T23" s="6">
        <f t="shared" si="1"/>
        <v>0.25152734678044825</v>
      </c>
      <c r="U23" s="6">
        <v>4.0010000000000003</v>
      </c>
      <c r="V23" s="6">
        <v>4.3019999999999996</v>
      </c>
      <c r="W23" s="6">
        <v>5.8029999999999999</v>
      </c>
      <c r="X23" s="5">
        <f t="shared" si="2"/>
        <v>0.19500000000000028</v>
      </c>
    </row>
    <row r="24" spans="1:24" ht="25.35" customHeight="1" x14ac:dyDescent="0.25">
      <c r="A24" s="2">
        <v>19</v>
      </c>
      <c r="B24" s="10" t="s">
        <v>11</v>
      </c>
      <c r="C24" s="2">
        <v>3</v>
      </c>
      <c r="D24" s="2">
        <v>80</v>
      </c>
      <c r="E24" s="2">
        <v>50</v>
      </c>
      <c r="F24" s="2">
        <v>20</v>
      </c>
      <c r="G24" s="2">
        <v>5</v>
      </c>
      <c r="H24" s="4">
        <v>19.515799999999999</v>
      </c>
      <c r="I24" s="4">
        <v>19.501300000000001</v>
      </c>
      <c r="J24" s="4">
        <v>13.4391</v>
      </c>
      <c r="K24" s="4">
        <v>11.076000000000001</v>
      </c>
      <c r="L24" s="5">
        <v>10</v>
      </c>
      <c r="M24" s="5">
        <v>30.01</v>
      </c>
      <c r="N24" s="5">
        <v>10</v>
      </c>
      <c r="O24" s="5">
        <v>30.01</v>
      </c>
      <c r="P24" s="5">
        <v>10.26</v>
      </c>
      <c r="Q24" s="5">
        <v>10.039999999999999</v>
      </c>
      <c r="R24" s="5">
        <v>89.8</v>
      </c>
      <c r="S24" s="6">
        <f t="shared" si="0"/>
        <v>9.2658960444179534</v>
      </c>
      <c r="T24" s="6">
        <f t="shared" si="1"/>
        <v>1.802119790009319E-2</v>
      </c>
      <c r="U24" s="6">
        <v>2.5609999999999999</v>
      </c>
      <c r="V24" s="6">
        <v>1.204</v>
      </c>
      <c r="W24" s="6">
        <v>2.3420000000000001</v>
      </c>
      <c r="X24" s="5">
        <f t="shared" si="2"/>
        <v>0.12999999999999989</v>
      </c>
    </row>
    <row r="25" spans="1:24" ht="25.35" customHeight="1" x14ac:dyDescent="0.25">
      <c r="A25" s="2">
        <v>20</v>
      </c>
      <c r="B25" s="10"/>
      <c r="C25" s="2">
        <v>5</v>
      </c>
      <c r="D25" s="2">
        <v>80</v>
      </c>
      <c r="E25" s="2">
        <v>50</v>
      </c>
      <c r="F25" s="2">
        <v>20</v>
      </c>
      <c r="G25" s="2">
        <v>5</v>
      </c>
      <c r="H25" s="4">
        <v>19.2379</v>
      </c>
      <c r="I25" s="4">
        <v>19.210699999999999</v>
      </c>
      <c r="J25" s="4">
        <v>13.5662</v>
      </c>
      <c r="K25" s="4">
        <v>11.182600000000001</v>
      </c>
      <c r="L25" s="5">
        <v>10</v>
      </c>
      <c r="M25" s="5">
        <v>29.65</v>
      </c>
      <c r="N25" s="5">
        <v>10</v>
      </c>
      <c r="O25" s="5">
        <v>29.59</v>
      </c>
      <c r="P25" s="5">
        <v>10.31</v>
      </c>
      <c r="Q25" s="5">
        <v>10.039999999999999</v>
      </c>
      <c r="R25" s="5">
        <v>24.33</v>
      </c>
      <c r="S25" s="6">
        <f t="shared" si="0"/>
        <v>34.496332702338151</v>
      </c>
      <c r="T25" s="6">
        <f t="shared" si="1"/>
        <v>0.12477247372438752</v>
      </c>
      <c r="U25" s="6">
        <v>3.5209999999999999</v>
      </c>
      <c r="V25" s="6">
        <v>5.218</v>
      </c>
      <c r="W25" s="6">
        <v>5.4779999999999998</v>
      </c>
      <c r="X25" s="5">
        <f t="shared" si="2"/>
        <v>0.15500000000000025</v>
      </c>
    </row>
    <row r="26" spans="1:24" ht="25.35" customHeight="1" x14ac:dyDescent="0.25">
      <c r="A26" s="2">
        <v>21</v>
      </c>
      <c r="B26" s="10"/>
      <c r="C26" s="2">
        <v>7</v>
      </c>
      <c r="D26" s="2">
        <v>80</v>
      </c>
      <c r="E26" s="2">
        <v>50</v>
      </c>
      <c r="F26" s="2">
        <v>20</v>
      </c>
      <c r="G26" s="2">
        <v>5</v>
      </c>
      <c r="H26" s="4">
        <v>19.210699999999999</v>
      </c>
      <c r="I26" s="4">
        <v>19.156500000000001</v>
      </c>
      <c r="J26" s="4">
        <v>13.6515</v>
      </c>
      <c r="K26" s="4">
        <v>11.255699999999999</v>
      </c>
      <c r="L26" s="5">
        <v>10</v>
      </c>
      <c r="M26" s="5">
        <v>29.59</v>
      </c>
      <c r="N26" s="5">
        <v>10</v>
      </c>
      <c r="O26" s="5">
        <v>29.54</v>
      </c>
      <c r="P26" s="5">
        <v>10.34</v>
      </c>
      <c r="Q26" s="5">
        <v>10</v>
      </c>
      <c r="R26" s="5">
        <v>25.01</v>
      </c>
      <c r="S26" s="6">
        <f t="shared" si="0"/>
        <v>33.730169903869452</v>
      </c>
      <c r="T26" s="6">
        <f t="shared" si="1"/>
        <v>0.24186753869879737</v>
      </c>
      <c r="U26" s="6">
        <v>4.3419999999999996</v>
      </c>
      <c r="V26" s="6">
        <v>6.4459999999999997</v>
      </c>
      <c r="W26" s="6">
        <v>6.3840000000000003</v>
      </c>
      <c r="X26" s="5">
        <f t="shared" si="2"/>
        <v>0.16999999999999993</v>
      </c>
    </row>
    <row r="27" spans="1:24" ht="25.35" customHeight="1" x14ac:dyDescent="0.25"/>
    <row r="28" spans="1:24" ht="25.35" customHeight="1" x14ac:dyDescent="0.25">
      <c r="B28" s="7" t="s">
        <v>39</v>
      </c>
      <c r="C28" s="1">
        <v>2.8400000000000001E-3</v>
      </c>
      <c r="D28" s="1" t="s">
        <v>41</v>
      </c>
    </row>
    <row r="29" spans="1:24" ht="25.35" customHeight="1" x14ac:dyDescent="0.25">
      <c r="B29" s="7" t="s">
        <v>40</v>
      </c>
      <c r="C29" s="1">
        <v>8.9599999999999992E-3</v>
      </c>
      <c r="D29" s="1" t="s">
        <v>41</v>
      </c>
    </row>
    <row r="30" spans="1:24" ht="25.35" customHeight="1" x14ac:dyDescent="0.25"/>
    <row r="31" spans="1:24" ht="25.35" customHeight="1" x14ac:dyDescent="0.25"/>
    <row r="32" spans="1:24" ht="25.35" customHeight="1" x14ac:dyDescent="0.25"/>
    <row r="33" ht="25.35" customHeight="1" x14ac:dyDescent="0.25"/>
    <row r="34" ht="25.35" customHeight="1" x14ac:dyDescent="0.25"/>
    <row r="35" ht="25.35" customHeight="1" x14ac:dyDescent="0.25"/>
    <row r="36" ht="25.35" customHeight="1" x14ac:dyDescent="0.25"/>
    <row r="37" ht="25.35" customHeight="1" x14ac:dyDescent="0.25"/>
    <row r="38" ht="25.35" customHeight="1" x14ac:dyDescent="0.25"/>
    <row r="66" spans="2:2" x14ac:dyDescent="0.25">
      <c r="B66" s="9"/>
    </row>
    <row r="152" spans="7:8" x14ac:dyDescent="0.25">
      <c r="G152" s="8" t="s">
        <v>44</v>
      </c>
      <c r="H152" s="8" t="s">
        <v>43</v>
      </c>
    </row>
    <row r="153" spans="7:8" x14ac:dyDescent="0.25">
      <c r="G153" s="2" t="s">
        <v>45</v>
      </c>
      <c r="H153" s="2">
        <v>20.97</v>
      </c>
    </row>
    <row r="154" spans="7:8" ht="15.75" x14ac:dyDescent="0.25">
      <c r="G154" s="2" t="s">
        <v>46</v>
      </c>
      <c r="H154" s="12">
        <v>18.66</v>
      </c>
    </row>
    <row r="155" spans="7:8" ht="15.75" x14ac:dyDescent="0.25">
      <c r="G155" s="2" t="s">
        <v>47</v>
      </c>
      <c r="H155" s="12">
        <v>19.829999999999998</v>
      </c>
    </row>
    <row r="156" spans="7:8" ht="15.75" x14ac:dyDescent="0.25">
      <c r="G156" s="2" t="s">
        <v>48</v>
      </c>
      <c r="H156" s="12">
        <v>20.55</v>
      </c>
    </row>
    <row r="157" spans="7:8" ht="15.75" x14ac:dyDescent="0.25">
      <c r="G157" s="2" t="s">
        <v>49</v>
      </c>
      <c r="H157" s="12">
        <v>12.58</v>
      </c>
    </row>
    <row r="158" spans="7:8" ht="15.75" x14ac:dyDescent="0.25">
      <c r="G158" s="2" t="s">
        <v>50</v>
      </c>
      <c r="H158" s="12">
        <v>17.05</v>
      </c>
    </row>
    <row r="159" spans="7:8" ht="15.75" x14ac:dyDescent="0.25">
      <c r="G159" s="2" t="s">
        <v>51</v>
      </c>
      <c r="H159" s="12">
        <v>19.47</v>
      </c>
    </row>
  </sheetData>
  <mergeCells count="26">
    <mergeCell ref="B12:B14"/>
    <mergeCell ref="B15:B17"/>
    <mergeCell ref="B18:B20"/>
    <mergeCell ref="B21:B23"/>
    <mergeCell ref="U3:W3"/>
    <mergeCell ref="A3:A5"/>
    <mergeCell ref="B3:B5"/>
    <mergeCell ref="C3:C4"/>
    <mergeCell ref="D3:D4"/>
    <mergeCell ref="E3:E4"/>
    <mergeCell ref="B24:B26"/>
    <mergeCell ref="X3:X4"/>
    <mergeCell ref="R3:R4"/>
    <mergeCell ref="S3:S4"/>
    <mergeCell ref="T3:T4"/>
    <mergeCell ref="B6:B8"/>
    <mergeCell ref="B9:B11"/>
    <mergeCell ref="F3:F4"/>
    <mergeCell ref="G3:G4"/>
    <mergeCell ref="H3:H4"/>
    <mergeCell ref="I3:I4"/>
    <mergeCell ref="J3:J4"/>
    <mergeCell ref="K3:K4"/>
    <mergeCell ref="L3:M3"/>
    <mergeCell ref="N3:O3"/>
    <mergeCell ref="P3:Q3"/>
  </mergeCells>
  <phoneticPr fontId="7" type="noConversion"/>
  <pageMargins left="0.7" right="0.7" top="0.75" bottom="0.75" header="0.3" footer="0.3"/>
  <pageSetup paperSize="8"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Tayyab</dc:creator>
  <cp:lastModifiedBy>Muhammad Tayyab</cp:lastModifiedBy>
  <cp:lastPrinted>2026-04-19T12:34:24Z</cp:lastPrinted>
  <dcterms:created xsi:type="dcterms:W3CDTF">2015-06-05T18:17:20Z</dcterms:created>
  <dcterms:modified xsi:type="dcterms:W3CDTF">2026-04-22T10:25:36Z</dcterms:modified>
</cp:coreProperties>
</file>